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1431E28E5AC6371/Desktop/Data Analyst Internship/"/>
    </mc:Choice>
  </mc:AlternateContent>
  <xr:revisionPtr revIDLastSave="0" documentId="8_{B0C1A5FF-77C6-4075-942E-1553F948EB6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3" r:id="rId1"/>
    <sheet name="Sheet3" sheetId="6" r:id="rId2"/>
    <sheet name="Sheet4" sheetId="7" r:id="rId3"/>
    <sheet name="Sheet5" sheetId="8" r:id="rId4"/>
    <sheet name="Sheet1" sheetId="1" r:id="rId5"/>
    <sheet name="Dashboard" sheetId="2" r:id="rId6"/>
  </sheets>
  <calcPr calcId="191029"/>
  <pivotCaches>
    <pivotCache cacheId="3" r:id="rId7"/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<sst xmlns="http://schemas.openxmlformats.org/spreadsheetml/2006/main" count="2323" uniqueCount="47">
  <si>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</si>
  <si>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</si>
  <si>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</si>
  <si>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</si>
  <si>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</si>
  <si>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</si>
  <si>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</si>
  <si>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</si>
  <si>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</si>
  <si>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</si>
  <si>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</si>
  <si>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</si>
  <si>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</si>
  <si>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</si>
  <si>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</si>
  <si>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</si>
  <si>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</si>
  <si>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</si>
  <si>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</si>
  <si>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</si>
  <si>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</si>
  <si>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</si>
  <si>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</si>
  <si>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</si>
  <si>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</si>
  <si>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</si>
  <si>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</si>
  <si>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</si>
  <si>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</si>
  <si>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</si>
  <si>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</si>
  <si>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</si>
  <si>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</si>
  <si>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</si>
  <si>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</si>
  <si>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</si>
  <si>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</si>
  <si>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</si>
  <si>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</si>
  <si>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Total Customers</t>
  </si>
  <si>
    <t>Positive Feedback</t>
  </si>
  <si>
    <t>Negative Feedback</t>
  </si>
  <si>
    <t>Row Labels</t>
  </si>
  <si>
    <t>Grand Total</t>
  </si>
  <si>
    <t>Count of Feedback</t>
  </si>
  <si>
    <t>Sum of Age</t>
  </si>
  <si>
    <t>ONLINE FOOD DELIVERY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</si>
</sst>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A-4E41-AD2D-328B396F2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A-4E41-AD2D-328B396F2550}"/>
              </c:ext>
            </c:extLst>
          </c:dPt>
          <c:cat>
            <c:strRef>
              <c:f>Sheet2!$A$4:$A$6</c:f>
              <c:strCache>
                <c:ptCount val="2"/>
                <c:pt idx="0">
                  <c:v>Negative </c:v>
                </c:pt>
                <c:pt idx="1">
                  <c:v>Positive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54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EA-4E41-AD2D-328B396F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[Task3_Food_Delivery_Dashboard.xlsx]Sheet3!PivotTable4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105</c:v>
                </c:pt>
                <c:pt idx="1">
                  <c:v>18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E4B-9FB4-A473448C9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0154192"/>
        <c:axId val="1455147472"/>
        <c:axId val="0"/>
      </c:bar3DChart>
      <c:catAx>
        <c:axId val="151015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47472"/>
        <c:crosses val="autoZero"/>
        <c:auto val="1"/>
        <c:lblAlgn val="ctr"/>
        <c:lblOffset val="100"/>
        <c:noMultiLvlLbl val="0"/>
      </c:catAx>
      <c:valAx>
        <c:axId val="145514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[Task3_Food_Delivery_Dashboard.xlsx]Sheet4!PivotTable5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692038495188105E-2"/>
          <c:y val="0.23911599591717697"/>
          <c:w val="0.70692082239720033"/>
          <c:h val="0.48688721201516477"/>
        </c:manualLayout>
      </c:layout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Employee</c:v>
                </c:pt>
                <c:pt idx="1">
                  <c:v>House wife</c:v>
                </c:pt>
                <c:pt idx="2">
                  <c:v>Self Employeed</c:v>
                </c:pt>
                <c:pt idx="3">
                  <c:v>Student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2473</c:v>
                </c:pt>
                <c:pt idx="1">
                  <c:v>273</c:v>
                </c:pt>
                <c:pt idx="2">
                  <c:v>1005</c:v>
                </c:pt>
                <c:pt idx="3">
                  <c:v>3282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F-451D-824B-DFC91B0B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387376"/>
        <c:axId val="1455215152"/>
        <c:axId val="1112423440"/>
      </c:area3DChart>
      <c:catAx>
        <c:axId val="145438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5152"/>
        <c:crosses val="autoZero"/>
        <c:auto val="1"/>
        <c:lblAlgn val="ctr"/>
        <c:lblOffset val="100"/>
        <c:noMultiLvlLbl val="0"/>
      </c:catAx>
      <c:valAx>
        <c:axId val="1455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87376"/>
        <c:crosses val="autoZero"/>
        <c:crossBetween val="midCat"/>
      </c:valAx>
      <c:serAx>
        <c:axId val="11124234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51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[Task3_Food_Delivery_Dashboard.xlsx]Sheet5!PivotTable6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Sheet5!$A$4:$A$9</c:f>
              <c:strCache>
                <c:ptCount val="5"/>
                <c:pt idx="0">
                  <c:v>10001 to 25000</c:v>
                </c:pt>
                <c:pt idx="1">
                  <c:v>25001 to 50000</c:v>
                </c:pt>
                <c:pt idx="2">
                  <c:v>Below Rs.10000</c:v>
                </c:pt>
                <c:pt idx="3">
                  <c:v>More than 50000</c:v>
                </c:pt>
                <c:pt idx="4">
                  <c:v>No Income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890</c:v>
                </c:pt>
                <c:pt idx="1">
                  <c:v>1363</c:v>
                </c:pt>
                <c:pt idx="2">
                  <c:v>451</c:v>
                </c:pt>
                <c:pt idx="3">
                  <c:v>1284</c:v>
                </c:pt>
                <c:pt idx="4">
                  <c:v>3045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6-4A6D-A176-B3E782FE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867568"/>
        <c:axId val="1455212752"/>
      </c:lineChart>
      <c:catAx>
        <c:axId val="111586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2752"/>
        <c:crosses val="autoZero"/>
        <c:auto val="1"/>
        <c:lblAlgn val="ctr"/>
        <c:lblOffset val="100"/>
        <c:noMultiLvlLbl val="0"/>
      </c:catAx>
      <c:valAx>
        <c:axId val="145521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6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137160</xdr:rowOff>
    </xdr:from>
    <xdr:to>
      <xdr:col>4</xdr:col>
      <xdr:colOff>449580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98127-3801-4E28-BDDF-07E8AA3B6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449580</xdr:colOff>
      <xdr:row>7</xdr:row>
      <xdr:rowOff>160020</xdr:rowOff>
    </xdr:from>
    <xdr:to>
      <xdr:col>13</xdr:col>
      <xdr:colOff>160020</xdr:colOff>
      <xdr:row>22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D54CC-8828-4035-B3AD-6186578E3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160020</xdr:rowOff>
    </xdr:from>
    <xdr:to>
      <xdr:col>4</xdr:col>
      <xdr:colOff>441960</xdr:colOff>
      <xdr:row>37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131D6B-3294-4E9D-8DF1-6CAF88E61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441960</xdr:colOff>
      <xdr:row>22</xdr:row>
      <xdr:rowOff>167640</xdr:rowOff>
    </xdr:from>
    <xdr:to>
      <xdr:col>13</xdr:col>
      <xdr:colOff>91440</xdr:colOff>
      <xdr:row>37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466BB-CE91-4DCB-B01C-0963D41C9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08.888468634257" createdVersion="8" refreshedVersion="8" minRefreshableVersion="3" recordCount="285" xr:uid="{41E411A4-CEBB-4B04-8299-9F9F188AF372}">
  <cacheSource type="worksheet">
    <worksheetSource ref="M1:M286" sheet="Sheet1"/>
  </cacheSource>
  <cacheFields count="1"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08.898099537037" createdVersion="8" refreshedVersion="8" minRefreshableVersion="3" recordCount="285" xr:uid="{95168C07-8A47-4EFE-B5EC-9D71390C5F60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x v="0"/>
  </r>
  <r>
    <n v="24"/>
    <s v="Female"/>
    <s v="Single"/>
    <x v="0"/>
    <x v="1"/>
    <s v="Graduate"/>
    <n v="3"/>
    <x v="1"/>
    <n v="12.977"/>
    <n v="77.577299999999994"/>
    <n v="560009"/>
    <s v="Yes"/>
    <x v="0"/>
  </r>
  <r>
    <n v="22"/>
    <s v="Male"/>
    <s v="Single"/>
    <x v="0"/>
    <x v="1"/>
    <s v="Post Graduate"/>
    <n v="3"/>
    <x v="1"/>
    <n v="12.9551"/>
    <n v="77.659300000000002"/>
    <n v="560017"/>
    <s v="Yes"/>
    <x v="1"/>
  </r>
  <r>
    <n v="22"/>
    <s v="Female"/>
    <s v="Single"/>
    <x v="0"/>
    <x v="0"/>
    <s v="Graduate"/>
    <n v="6"/>
    <x v="0"/>
    <n v="12.9473"/>
    <n v="77.561599999999999"/>
    <n v="560019"/>
    <s v="Yes"/>
    <x v="0"/>
  </r>
  <r>
    <n v="22"/>
    <s v="Male"/>
    <s v="Single"/>
    <x v="0"/>
    <x v="1"/>
    <s v="Post Graduate"/>
    <n v="4"/>
    <x v="0"/>
    <n v="12.984999999999999"/>
    <n v="77.553299999999993"/>
    <n v="560010"/>
    <s v="Yes"/>
    <x v="0"/>
  </r>
  <r>
    <n v="27"/>
    <s v="Female"/>
    <s v="Married"/>
    <x v="1"/>
    <x v="2"/>
    <s v="Post Graduate"/>
    <n v="2"/>
    <x v="1"/>
    <n v="12.9299"/>
    <n v="77.684799999999996"/>
    <n v="560103"/>
    <s v="Yes"/>
    <x v="0"/>
  </r>
  <r>
    <n v="22"/>
    <s v="Male"/>
    <s v="Single"/>
    <x v="0"/>
    <x v="0"/>
    <s v="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3"/>
    <x v="1"/>
    <n v="12.982799999999999"/>
    <n v="77.613100000000003"/>
    <n v="560042"/>
    <s v="Yes"/>
    <x v="0"/>
  </r>
  <r>
    <n v="23"/>
    <s v="Female"/>
    <s v="Single"/>
    <x v="0"/>
    <x v="0"/>
    <s v="Post Graduate"/>
    <n v="2"/>
    <x v="1"/>
    <n v="12.976599999999999"/>
    <n v="77.599299999999999"/>
    <n v="560001"/>
    <s v="Yes"/>
    <x v="0"/>
  </r>
  <r>
    <n v="23"/>
    <s v="Female"/>
    <s v="Single"/>
    <x v="0"/>
    <x v="0"/>
    <s v="Post Graduate"/>
    <n v="4"/>
    <x v="0"/>
    <n v="12.9854"/>
    <n v="77.708100000000002"/>
    <n v="560048"/>
    <s v="Yes"/>
    <x v="0"/>
  </r>
  <r>
    <n v="22"/>
    <s v="Female"/>
    <s v="Single"/>
    <x v="0"/>
    <x v="0"/>
    <s v="Post Graduate"/>
    <n v="5"/>
    <x v="0"/>
    <n v="12.984999999999999"/>
    <n v="77.553299999999993"/>
    <n v="560010"/>
    <s v="Yes"/>
    <x v="0"/>
  </r>
  <r>
    <n v="23"/>
    <s v="Male"/>
    <s v="Single"/>
    <x v="0"/>
    <x v="1"/>
    <s v="Post Graduate"/>
    <n v="2"/>
    <x v="1"/>
    <n v="12.977"/>
    <n v="77.577299999999994"/>
    <n v="560009"/>
    <s v="Yes"/>
    <x v="1"/>
  </r>
  <r>
    <n v="23"/>
    <s v="Male"/>
    <s v="Single"/>
    <x v="0"/>
    <x v="0"/>
    <s v="Post Graduate"/>
    <n v="5"/>
    <x v="0"/>
    <n v="12.8988"/>
    <n v="77.576400000000007"/>
    <n v="560078"/>
    <s v="Yes"/>
    <x v="0"/>
  </r>
  <r>
    <n v="21"/>
    <s v="Male"/>
    <s v="Single"/>
    <x v="0"/>
    <x v="0"/>
    <s v="Graduate"/>
    <n v="4"/>
    <x v="0"/>
    <n v="12.977"/>
    <n v="77.577299999999994"/>
    <n v="560009"/>
    <s v="Yes"/>
    <x v="0"/>
  </r>
  <r>
    <n v="23"/>
    <s v="Female"/>
    <s v="Single"/>
    <x v="2"/>
    <x v="3"/>
    <s v="Post Graduate"/>
    <n v="5"/>
    <x v="0"/>
    <n v="12.9438"/>
    <n v="77.573800000000006"/>
    <n v="560004"/>
    <s v="Yes"/>
    <x v="0"/>
  </r>
  <r>
    <n v="24"/>
    <s v="Female"/>
    <s v="Single"/>
    <x v="0"/>
    <x v="0"/>
    <s v="Post Graduate"/>
    <n v="6"/>
    <x v="0"/>
    <n v="12.8893"/>
    <n v="77.639899999999997"/>
    <n v="560068"/>
    <s v="Yes"/>
    <x v="0"/>
  </r>
  <r>
    <n v="28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Female"/>
    <s v="Single"/>
    <x v="0"/>
    <x v="0"/>
    <s v="Graduate"/>
    <n v="3"/>
    <x v="1"/>
    <n v="12.981999999999999"/>
    <n v="77.625600000000006"/>
    <n v="560008"/>
    <s v="Yes"/>
    <x v="1"/>
  </r>
  <r>
    <n v="25"/>
    <s v="Male"/>
    <s v="Single"/>
    <x v="0"/>
    <x v="0"/>
    <s v="Graduate"/>
    <n v="4"/>
    <x v="0"/>
    <n v="12.8988"/>
    <n v="77.576400000000007"/>
    <n v="560078"/>
    <s v="Yes"/>
    <x v="1"/>
  </r>
  <r>
    <n v="21"/>
    <s v="Female"/>
    <s v="Single"/>
    <x v="0"/>
    <x v="1"/>
    <s v="Post Graduate"/>
    <n v="1"/>
    <x v="2"/>
    <n v="12.978300000000001"/>
    <n v="77.640799999999999"/>
    <n v="560038"/>
    <s v="Yes"/>
    <x v="0"/>
  </r>
  <r>
    <n v="24"/>
    <s v="Male"/>
    <s v="Single"/>
    <x v="0"/>
    <x v="0"/>
    <s v="Post Graduate"/>
    <n v="3"/>
    <x v="1"/>
    <n v="12.977"/>
    <n v="77.577299999999994"/>
    <n v="560009"/>
    <s v="Yes"/>
    <x v="0"/>
  </r>
  <r>
    <n v="22"/>
    <s v="Male"/>
    <s v="Single"/>
    <x v="0"/>
    <x v="0"/>
    <s v="Post Graduate"/>
    <n v="4"/>
    <x v="0"/>
    <n v="13.0298"/>
    <n v="77.604699999999994"/>
    <n v="560032"/>
    <s v="Yes"/>
    <x v="0"/>
  </r>
  <r>
    <n v="22"/>
    <s v="Female"/>
    <s v="Single"/>
    <x v="0"/>
    <x v="0"/>
    <s v="Graduate"/>
    <n v="4"/>
    <x v="0"/>
    <n v="12.9983"/>
    <n v="77.640900000000002"/>
    <n v="560033"/>
    <s v="Yes"/>
    <x v="0"/>
  </r>
  <r>
    <n v="23"/>
    <s v="Male"/>
    <s v="Single"/>
    <x v="0"/>
    <x v="0"/>
    <s v="Graduate"/>
    <n v="4"/>
    <x v="0"/>
    <n v="12.9925"/>
    <n v="77.563299999999998"/>
    <n v="560021"/>
    <s v="Yes"/>
    <x v="0"/>
  </r>
  <r>
    <n v="21"/>
    <s v="Male"/>
    <s v="Single"/>
    <x v="0"/>
    <x v="1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3"/>
    <x v="1"/>
    <n v="12.981999999999999"/>
    <n v="77.625600000000006"/>
    <n v="560008"/>
    <s v="Yes"/>
    <x v="0"/>
  </r>
  <r>
    <n v="22"/>
    <s v="Female"/>
    <s v="Single"/>
    <x v="0"/>
    <x v="0"/>
    <s v="Post Graduate"/>
    <n v="5"/>
    <x v="0"/>
    <n v="12.9353"/>
    <n v="77.558499999999995"/>
    <n v="560050"/>
    <s v="Yes"/>
    <x v="0"/>
  </r>
  <r>
    <n v="22"/>
    <s v="Male"/>
    <s v="Single"/>
    <x v="0"/>
    <x v="0"/>
    <s v="Post Graduate"/>
    <n v="3"/>
    <x v="1"/>
    <n v="12.9155"/>
    <n v="77.513499999999993"/>
    <n v="560098"/>
    <s v="Yes"/>
    <x v="0"/>
  </r>
  <r>
    <n v="23"/>
    <s v="Female"/>
    <s v="Single"/>
    <x v="1"/>
    <x v="3"/>
    <s v="Graduate"/>
    <n v="3"/>
    <x v="1"/>
    <n v="12.9854"/>
    <n v="77.708100000000002"/>
    <n v="560048"/>
    <s v="Yes"/>
    <x v="0"/>
  </r>
  <r>
    <n v="22"/>
    <s v="Male"/>
    <s v="Single"/>
    <x v="0"/>
    <x v="1"/>
    <s v="Post Graduate"/>
    <n v="4"/>
    <x v="0"/>
    <n v="13.001899999999999"/>
    <n v="77.571299999999994"/>
    <n v="560003"/>
    <s v="Yes"/>
    <x v="0"/>
  </r>
  <r>
    <n v="22"/>
    <s v="Female"/>
    <s v="Single"/>
    <x v="1"/>
    <x v="3"/>
    <s v="Graduate"/>
    <n v="5"/>
    <x v="0"/>
    <n v="12.969799999999999"/>
    <n v="77.75"/>
    <n v="560066"/>
    <s v="Yes"/>
    <x v="0"/>
  </r>
  <r>
    <n v="22"/>
    <s v="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Married"/>
    <x v="1"/>
    <x v="2"/>
    <s v="Ph.D"/>
    <n v="4"/>
    <x v="0"/>
    <n v="12.9261"/>
    <n v="77.622100000000003"/>
    <n v="560034"/>
    <s v="Yes"/>
    <x v="0"/>
  </r>
  <r>
    <n v="22"/>
    <s v="Female"/>
    <s v="Single"/>
    <x v="0"/>
    <x v="3"/>
    <s v="Post Graduate"/>
    <n v="5"/>
    <x v="0"/>
    <n v="12.984999999999999"/>
    <n v="77.553299999999993"/>
    <n v="560010"/>
    <s v="Yes"/>
    <x v="0"/>
  </r>
  <r>
    <n v="22"/>
    <s v="Female"/>
    <s v="Single"/>
    <x v="0"/>
    <x v="0"/>
    <s v="Post Graduate"/>
    <n v="2"/>
    <x v="1"/>
    <n v="12.911899999999999"/>
    <n v="77.644599999999997"/>
    <n v="560102"/>
    <s v="Yes"/>
    <x v="0"/>
  </r>
  <r>
    <n v="25"/>
    <s v="Male"/>
    <s v="Single"/>
    <x v="0"/>
    <x v="3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5"/>
    <x v="0"/>
    <n v="12.977"/>
    <n v="77.577299999999994"/>
    <n v="560009"/>
    <s v="No"/>
    <x v="0"/>
  </r>
  <r>
    <n v="32"/>
    <s v="Female"/>
    <s v="Prefer not to say"/>
    <x v="3"/>
    <x v="0"/>
    <s v="Graduate"/>
    <n v="5"/>
    <x v="0"/>
    <n v="12.981999999999999"/>
    <n v="77.625600000000006"/>
    <n v="560008"/>
    <s v="Yes"/>
    <x v="1"/>
  </r>
  <r>
    <n v="23"/>
    <s v="Female"/>
    <s v="Single"/>
    <x v="0"/>
    <x v="0"/>
    <s v="Post Graduate"/>
    <n v="3"/>
    <x v="1"/>
    <n v="12.9438"/>
    <n v="77.573800000000006"/>
    <n v="560004"/>
    <s v="Yes"/>
    <x v="0"/>
  </r>
  <r>
    <n v="23"/>
    <s v="Female"/>
    <s v="Single"/>
    <x v="0"/>
    <x v="0"/>
    <s v="Post Graduate"/>
    <n v="4"/>
    <x v="0"/>
    <n v="12.8988"/>
    <n v="77.576400000000007"/>
    <n v="560078"/>
    <s v="Yes"/>
    <x v="0"/>
  </r>
  <r>
    <n v="30"/>
    <s v="Male"/>
    <s v="Married"/>
    <x v="2"/>
    <x v="2"/>
    <s v="Uneducated"/>
    <n v="4"/>
    <x v="0"/>
    <n v="12.966200000000001"/>
    <n v="77.606800000000007"/>
    <n v="560025"/>
    <s v="Yes"/>
    <x v="1"/>
  </r>
  <r>
    <n v="23"/>
    <s v="Male"/>
    <s v="Single"/>
    <x v="0"/>
    <x v="0"/>
    <s v="Graduate"/>
    <n v="3"/>
    <x v="1"/>
    <n v="12.9565"/>
    <n v="77.548400000000001"/>
    <n v="560026"/>
    <s v="Yes"/>
    <x v="0"/>
  </r>
  <r>
    <n v="23"/>
    <s v="Male"/>
    <s v="Single"/>
    <x v="0"/>
    <x v="0"/>
    <s v="Post Graduate"/>
    <n v="4"/>
    <x v="0"/>
    <n v="12.9925"/>
    <n v="77.563299999999998"/>
    <n v="560021"/>
    <s v="Yes"/>
    <x v="0"/>
  </r>
  <r>
    <n v="22"/>
    <s v="Male"/>
    <s v="Single"/>
    <x v="0"/>
    <x v="0"/>
    <s v="Graduate"/>
    <n v="5"/>
    <x v="0"/>
    <n v="12.984999999999999"/>
    <n v="77.553299999999993"/>
    <n v="560010"/>
    <s v="Yes"/>
    <x v="0"/>
  </r>
  <r>
    <n v="27"/>
    <s v="Female"/>
    <s v="Married"/>
    <x v="2"/>
    <x v="3"/>
    <s v="Post Graduate"/>
    <n v="2"/>
    <x v="1"/>
    <n v="12.9261"/>
    <n v="77.622100000000003"/>
    <n v="560034"/>
    <s v="Yes"/>
    <x v="0"/>
  </r>
  <r>
    <n v="24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2"/>
    <x v="1"/>
    <n v="12.977"/>
    <n v="77.577299999999994"/>
    <n v="560009"/>
    <s v="Yes"/>
    <x v="0"/>
  </r>
  <r>
    <n v="23"/>
    <s v="Female"/>
    <s v="Single"/>
    <x v="0"/>
    <x v="0"/>
    <s v="Graduate"/>
    <n v="5"/>
    <x v="0"/>
    <n v="13.0206"/>
    <n v="77.647900000000007"/>
    <n v="560043"/>
    <s v="Yes"/>
    <x v="0"/>
  </r>
  <r>
    <n v="23"/>
    <s v="Female"/>
    <s v="Single"/>
    <x v="0"/>
    <x v="0"/>
    <s v="Post Graduate"/>
    <n v="2"/>
    <x v="1"/>
    <n v="12.977"/>
    <n v="77.577299999999994"/>
    <n v="560009"/>
    <s v="Yes"/>
    <x v="0"/>
  </r>
  <r>
    <n v="25"/>
    <s v="Male"/>
    <s v="Single"/>
    <x v="0"/>
    <x v="0"/>
    <s v="Post Graduate"/>
    <n v="2"/>
    <x v="1"/>
    <n v="12.9635"/>
    <n v="77.582099999999997"/>
    <n v="560002"/>
    <s v="Yes"/>
    <x v="0"/>
  </r>
  <r>
    <n v="22"/>
    <s v="Male"/>
    <s v="Single"/>
    <x v="0"/>
    <x v="0"/>
    <s v="Post Graduate"/>
    <n v="3"/>
    <x v="1"/>
    <n v="12.9306"/>
    <n v="77.543400000000005"/>
    <n v="560085"/>
    <s v="Yes"/>
    <x v="0"/>
  </r>
  <r>
    <n v="28"/>
    <s v="Female"/>
    <s v="Married"/>
    <x v="0"/>
    <x v="0"/>
    <s v="Graduate"/>
    <n v="2"/>
    <x v="1"/>
    <n v="13.0067"/>
    <n v="77.545000000000002"/>
    <n v="560086"/>
    <s v="Yes"/>
    <x v="0"/>
  </r>
  <r>
    <n v="22"/>
    <s v="Female"/>
    <s v="Single"/>
    <x v="0"/>
    <x v="0"/>
    <s v="Post Graduate"/>
    <n v="1"/>
    <x v="2"/>
    <n v="12.884499999999999"/>
    <n v="77.6036"/>
    <n v="560076"/>
    <s v="Yes"/>
    <x v="0"/>
  </r>
  <r>
    <n v="24"/>
    <s v="Female"/>
    <s v="Single"/>
    <x v="0"/>
    <x v="0"/>
    <s v="Graduate"/>
    <n v="3"/>
    <x v="1"/>
    <n v="12.977"/>
    <n v="77.577299999999994"/>
    <n v="560009"/>
    <s v="Yes"/>
    <x v="0"/>
  </r>
  <r>
    <n v="31"/>
    <s v="Male"/>
    <s v="Married"/>
    <x v="1"/>
    <x v="2"/>
    <s v="Ph.D"/>
    <n v="5"/>
    <x v="0"/>
    <n v="12.911899999999999"/>
    <n v="77.644599999999997"/>
    <n v="560102"/>
    <s v="Yes"/>
    <x v="0"/>
  </r>
  <r>
    <n v="25"/>
    <s v="Male"/>
    <s v="Single"/>
    <x v="0"/>
    <x v="0"/>
    <s v="Post Graduate"/>
    <n v="4"/>
    <x v="0"/>
    <n v="13.0067"/>
    <n v="77.545000000000002"/>
    <n v="560086"/>
    <s v="Yes"/>
    <x v="0"/>
  </r>
  <r>
    <n v="22"/>
    <s v="Male"/>
    <s v="Single"/>
    <x v="0"/>
    <x v="0"/>
    <s v="Post Graduate"/>
    <n v="3"/>
    <x v="1"/>
    <n v="12.884499999999999"/>
    <n v="77.6036"/>
    <n v="560076"/>
    <s v="Yes"/>
    <x v="0"/>
  </r>
  <r>
    <n v="23"/>
    <s v="Male"/>
    <s v="Single"/>
    <x v="0"/>
    <x v="4"/>
    <s v="Post Graduate"/>
    <n v="1"/>
    <x v="2"/>
    <n v="13.0158"/>
    <n v="77.539000000000001"/>
    <n v="560096"/>
    <s v="Yes"/>
    <x v="0"/>
  </r>
  <r>
    <n v="23"/>
    <s v="Male"/>
    <s v="Single"/>
    <x v="0"/>
    <x v="0"/>
    <s v="Graduate"/>
    <n v="4"/>
    <x v="0"/>
    <n v="12.9343"/>
    <n v="77.604399999999998"/>
    <n v="560029"/>
    <s v="Yes"/>
    <x v="0"/>
  </r>
  <r>
    <n v="23"/>
    <s v="Female"/>
    <s v="Single"/>
    <x v="0"/>
    <x v="0"/>
    <s v="Post Graduate"/>
    <n v="2"/>
    <x v="1"/>
    <n v="13.001899999999999"/>
    <n v="77.571299999999994"/>
    <n v="560003"/>
    <s v="Yes"/>
    <x v="0"/>
  </r>
  <r>
    <n v="25"/>
    <s v="Male"/>
    <s v="Single"/>
    <x v="0"/>
    <x v="0"/>
    <s v="Post Graduate"/>
    <n v="6"/>
    <x v="0"/>
    <n v="13.001200000000001"/>
    <n v="77.599500000000006"/>
    <n v="560046"/>
    <s v="Yes"/>
    <x v="0"/>
  </r>
  <r>
    <n v="24"/>
    <s v="Male"/>
    <s v="Single"/>
    <x v="1"/>
    <x v="3"/>
    <s v="Graduate"/>
    <n v="4"/>
    <x v="0"/>
    <n v="12.9442"/>
    <n v="77.607600000000005"/>
    <n v="560030"/>
    <s v="Yes"/>
    <x v="0"/>
  </r>
  <r>
    <n v="23"/>
    <s v="Female"/>
    <s v="Single"/>
    <x v="0"/>
    <x v="0"/>
    <s v="Post Graduate"/>
    <n v="4"/>
    <x v="0"/>
    <n v="13.0487"/>
    <n v="77.592299999999994"/>
    <n v="560024"/>
    <s v="Yes"/>
    <x v="0"/>
  </r>
  <r>
    <n v="24"/>
    <s v="Female"/>
    <s v="Married"/>
    <x v="1"/>
    <x v="2"/>
    <s v="Ph.D"/>
    <n v="4"/>
    <x v="0"/>
    <n v="12.9438"/>
    <n v="77.573800000000006"/>
    <n v="560004"/>
    <s v="Yes"/>
    <x v="0"/>
  </r>
  <r>
    <n v="22"/>
    <s v="Male"/>
    <s v="Single"/>
    <x v="0"/>
    <x v="0"/>
    <s v="Graduate"/>
    <n v="4"/>
    <x v="0"/>
    <n v="12.988899999999999"/>
    <n v="77.574100000000001"/>
    <n v="560020"/>
    <s v="Yes"/>
    <x v="0"/>
  </r>
  <r>
    <n v="24"/>
    <s v="Female"/>
    <s v="Single"/>
    <x v="0"/>
    <x v="3"/>
    <s v="Post Graduate"/>
    <n v="3"/>
    <x v="1"/>
    <n v="12.9335"/>
    <n v="77.569100000000006"/>
    <n v="560028"/>
    <s v="No"/>
    <x v="0"/>
  </r>
  <r>
    <n v="25"/>
    <s v="Female"/>
    <s v="Single"/>
    <x v="0"/>
    <x v="0"/>
    <s v="Post Graduate"/>
    <n v="3"/>
    <x v="1"/>
    <n v="12.976599999999999"/>
    <n v="77.599299999999999"/>
    <n v="560001"/>
    <s v="Yes"/>
    <x v="0"/>
  </r>
  <r>
    <n v="23"/>
    <s v="Male"/>
    <s v="Single"/>
    <x v="0"/>
    <x v="0"/>
    <s v="Post Graduate"/>
    <n v="2"/>
    <x v="1"/>
    <n v="12.884499999999999"/>
    <n v="77.6036"/>
    <n v="560076"/>
    <s v="Yes"/>
    <x v="0"/>
  </r>
  <r>
    <n v="26"/>
    <s v="Male"/>
    <s v="Single"/>
    <x v="0"/>
    <x v="0"/>
    <s v="Post Graduate"/>
    <n v="4"/>
    <x v="0"/>
    <n v="13.001899999999999"/>
    <n v="77.571299999999994"/>
    <n v="560003"/>
    <s v="Yes"/>
    <x v="0"/>
  </r>
  <r>
    <n v="24"/>
    <s v="Female"/>
    <s v="Single"/>
    <x v="0"/>
    <x v="4"/>
    <s v="Post Graduate"/>
    <n v="3"/>
    <x v="1"/>
    <n v="13.102"/>
    <n v="77.586399999999998"/>
    <n v="560064"/>
    <s v="Yes"/>
    <x v="0"/>
  </r>
  <r>
    <n v="26"/>
    <s v="Male"/>
    <s v="Single"/>
    <x v="0"/>
    <x v="0"/>
    <s v="Post Graduate"/>
    <n v="4"/>
    <x v="0"/>
    <n v="12.9048"/>
    <n v="77.682100000000005"/>
    <n v="560036"/>
    <s v="Yes"/>
    <x v="0"/>
  </r>
  <r>
    <n v="22"/>
    <s v="Female"/>
    <s v="Single"/>
    <x v="0"/>
    <x v="0"/>
    <s v="Post Graduate"/>
    <n v="3"/>
    <x v="1"/>
    <n v="12.977"/>
    <n v="77.577299999999994"/>
    <n v="560009"/>
    <s v="Yes"/>
    <x v="0"/>
  </r>
  <r>
    <n v="24"/>
    <s v="Male"/>
    <s v="Single"/>
    <x v="0"/>
    <x v="0"/>
    <s v="Post Graduate"/>
    <n v="5"/>
    <x v="0"/>
    <n v="12.9337"/>
    <n v="77.59"/>
    <n v="560011"/>
    <s v="Yes"/>
    <x v="0"/>
  </r>
  <r>
    <n v="24"/>
    <s v="Male"/>
    <s v="Single"/>
    <x v="0"/>
    <x v="3"/>
    <s v="Post Graduate"/>
    <n v="4"/>
    <x v="0"/>
    <n v="12.903700000000001"/>
    <n v="77.537599999999998"/>
    <n v="560061"/>
    <s v="Yes"/>
    <x v="0"/>
  </r>
  <r>
    <n v="23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3"/>
    <x v="1"/>
    <n v="12.9343"/>
    <n v="77.604399999999998"/>
    <n v="560029"/>
    <s v="Yes"/>
    <x v="0"/>
  </r>
  <r>
    <n v="22"/>
    <s v="Male"/>
    <s v="Single"/>
    <x v="0"/>
    <x v="0"/>
    <s v="Post Graduate"/>
    <n v="3"/>
    <x v="1"/>
    <n v="12.9438"/>
    <n v="77.573800000000006"/>
    <n v="560004"/>
    <s v="Yes"/>
    <x v="0"/>
  </r>
  <r>
    <n v="23"/>
    <s v="Male"/>
    <s v="Single"/>
    <x v="0"/>
    <x v="0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Single"/>
    <x v="0"/>
    <x v="0"/>
    <s v="Graduate"/>
    <n v="1"/>
    <x v="2"/>
    <n v="12.977"/>
    <n v="77.577299999999994"/>
    <n v="560009"/>
    <s v="Yes"/>
    <x v="0"/>
  </r>
  <r>
    <n v="28"/>
    <s v="Male"/>
    <s v="Married"/>
    <x v="2"/>
    <x v="3"/>
    <s v="Graduate"/>
    <n v="2"/>
    <x v="1"/>
    <n v="13.0289"/>
    <n v="77.540000000000006"/>
    <n v="560022"/>
    <s v="No"/>
    <x v="1"/>
  </r>
  <r>
    <n v="27"/>
    <s v="Female"/>
    <s v="Prefer not to say"/>
    <x v="1"/>
    <x v="4"/>
    <s v="Post Graduate"/>
    <n v="5"/>
    <x v="0"/>
    <n v="13.0289"/>
    <n v="77.540000000000006"/>
    <n v="560022"/>
    <s v="No"/>
    <x v="0"/>
  </r>
  <r>
    <n v="26"/>
    <s v="Male"/>
    <s v="Single"/>
    <x v="2"/>
    <x v="3"/>
    <s v="Ph.D"/>
    <n v="1"/>
    <x v="2"/>
    <n v="12.969799999999999"/>
    <n v="77.75"/>
    <n v="560066"/>
    <s v="No"/>
    <x v="0"/>
  </r>
  <r>
    <n v="22"/>
    <s v="Male"/>
    <s v="Single"/>
    <x v="0"/>
    <x v="0"/>
    <s v="Post Graduate"/>
    <n v="2"/>
    <x v="1"/>
    <n v="12.977"/>
    <n v="77.577299999999994"/>
    <n v="560009"/>
    <s v="Yes"/>
    <x v="0"/>
  </r>
  <r>
    <n v="23"/>
    <s v="Male"/>
    <s v="Single"/>
    <x v="0"/>
    <x v="0"/>
    <s v="Post Graduate"/>
    <n v="1"/>
    <x v="2"/>
    <n v="12.956099999999999"/>
    <n v="77.592100000000002"/>
    <n v="560027"/>
    <s v="Yes"/>
    <x v="0"/>
  </r>
  <r>
    <n v="26"/>
    <s v="Male"/>
    <s v="Married"/>
    <x v="1"/>
    <x v="4"/>
    <s v="Graduate"/>
    <n v="5"/>
    <x v="0"/>
    <n v="12.9579"/>
    <n v="77.630899999999997"/>
    <n v="560007"/>
    <s v="No"/>
    <x v="0"/>
  </r>
  <r>
    <n v="32"/>
    <s v="Female"/>
    <s v="Married"/>
    <x v="3"/>
    <x v="0"/>
    <s v="Uneducated"/>
    <n v="3"/>
    <x v="1"/>
    <n v="13.013999999999999"/>
    <n v="77.565799999999996"/>
    <n v="560012"/>
    <s v="No"/>
    <x v="0"/>
  </r>
  <r>
    <n v="23"/>
    <s v="Male"/>
    <s v="Single"/>
    <x v="0"/>
    <x v="0"/>
    <s v="Post Graduate"/>
    <n v="2"/>
    <x v="1"/>
    <n v="12.9442"/>
    <n v="77.607600000000005"/>
    <n v="560030"/>
    <s v="Yes"/>
    <x v="0"/>
  </r>
  <r>
    <n v="22"/>
    <s v="Female"/>
    <s v="Single"/>
    <x v="1"/>
    <x v="3"/>
    <s v="Graduate"/>
    <n v="3"/>
    <x v="1"/>
    <n v="12.969799999999999"/>
    <n v="77.75"/>
    <n v="560066"/>
    <s v="Yes"/>
    <x v="0"/>
  </r>
  <r>
    <n v="24"/>
    <s v="Female"/>
    <s v="Single"/>
    <x v="0"/>
    <x v="0"/>
    <s v="Ph.D"/>
    <n v="3"/>
    <x v="1"/>
    <n v="12.9438"/>
    <n v="77.573800000000006"/>
    <n v="560004"/>
    <s v="Yes"/>
    <x v="0"/>
  </r>
  <r>
    <n v="26"/>
    <s v="Male"/>
    <s v="Single"/>
    <x v="1"/>
    <x v="4"/>
    <s v="Graduate"/>
    <n v="2"/>
    <x v="1"/>
    <n v="12.9261"/>
    <n v="77.622100000000003"/>
    <n v="560034"/>
    <s v="Yes"/>
    <x v="1"/>
  </r>
  <r>
    <n v="28"/>
    <s v="Male"/>
    <s v="Married"/>
    <x v="1"/>
    <x v="2"/>
    <s v="Graduate"/>
    <n v="3"/>
    <x v="1"/>
    <n v="12.969799999999999"/>
    <n v="77.75"/>
    <n v="560066"/>
    <s v="No"/>
    <x v="0"/>
  </r>
  <r>
    <n v="26"/>
    <s v="Male"/>
    <s v="Single"/>
    <x v="1"/>
    <x v="2"/>
    <s v="Post Graduate"/>
    <n v="2"/>
    <x v="1"/>
    <n v="12.969799999999999"/>
    <n v="77.75"/>
    <n v="560066"/>
    <s v="No"/>
    <x v="0"/>
  </r>
  <r>
    <n v="25"/>
    <s v="Male"/>
    <s v="Single"/>
    <x v="0"/>
    <x v="0"/>
    <s v="Post Graduate"/>
    <n v="1"/>
    <x v="2"/>
    <n v="12.9343"/>
    <n v="77.604399999999998"/>
    <n v="560029"/>
    <s v="Yes"/>
    <x v="0"/>
  </r>
  <r>
    <n v="25"/>
    <s v="Male"/>
    <s v="Single"/>
    <x v="1"/>
    <x v="1"/>
    <s v="Graduate"/>
    <n v="2"/>
    <x v="1"/>
    <n v="12.969799999999999"/>
    <n v="77.75"/>
    <n v="560066"/>
    <s v="No"/>
    <x v="0"/>
  </r>
  <r>
    <n v="18"/>
    <s v="Male"/>
    <s v="Single"/>
    <x v="0"/>
    <x v="0"/>
    <s v="Graduate"/>
    <n v="5"/>
    <x v="0"/>
    <n v="12.9635"/>
    <n v="77.582099999999997"/>
    <n v="560002"/>
    <s v="Yes"/>
    <x v="0"/>
  </r>
  <r>
    <n v="21"/>
    <s v="Male"/>
    <s v="Single"/>
    <x v="0"/>
    <x v="0"/>
    <s v="Post Graduate"/>
    <n v="4"/>
    <x v="0"/>
    <n v="12.977"/>
    <n v="77.577299999999994"/>
    <n v="560009"/>
    <s v="Yes"/>
    <x v="0"/>
  </r>
  <r>
    <n v="25"/>
    <s v="Male"/>
    <s v="Single"/>
    <x v="0"/>
    <x v="1"/>
    <s v="Post Graduate"/>
    <n v="2"/>
    <x v="1"/>
    <n v="12.9925"/>
    <n v="77.563299999999998"/>
    <n v="560021"/>
    <s v="Yes"/>
    <x v="0"/>
  </r>
  <r>
    <n v="23"/>
    <s v="Male"/>
    <s v="Single"/>
    <x v="1"/>
    <x v="3"/>
    <s v="Post Graduate"/>
    <n v="2"/>
    <x v="1"/>
    <n v="12.984999999999999"/>
    <n v="77.553299999999993"/>
    <n v="560010"/>
    <s v="Yes"/>
    <x v="0"/>
  </r>
  <r>
    <n v="25"/>
    <s v="Female"/>
    <s v="Married"/>
    <x v="1"/>
    <x v="4"/>
    <s v="Graduate"/>
    <n v="4"/>
    <x v="0"/>
    <n v="12.9551"/>
    <n v="77.659300000000002"/>
    <n v="560017"/>
    <s v="No"/>
    <x v="1"/>
  </r>
  <r>
    <n v="31"/>
    <s v="Female"/>
    <s v="Married"/>
    <x v="3"/>
    <x v="0"/>
    <s v="School"/>
    <n v="5"/>
    <x v="0"/>
    <n v="13.0289"/>
    <n v="77.540000000000006"/>
    <n v="560022"/>
    <s v="Yes"/>
    <x v="0"/>
  </r>
  <r>
    <n v="24"/>
    <s v="Male"/>
    <s v="Prefer not to say"/>
    <x v="2"/>
    <x v="2"/>
    <s v="Ph.D"/>
    <n v="2"/>
    <x v="1"/>
    <n v="13.0138"/>
    <n v="77.587699999999998"/>
    <n v="560006"/>
    <s v="No"/>
    <x v="0"/>
  </r>
  <r>
    <n v="32"/>
    <s v="Female"/>
    <s v="Married"/>
    <x v="1"/>
    <x v="4"/>
    <s v="Graduate"/>
    <n v="5"/>
    <x v="0"/>
    <n v="12.9261"/>
    <n v="77.622100000000003"/>
    <n v="560034"/>
    <s v="Yes"/>
    <x v="0"/>
  </r>
  <r>
    <n v="25"/>
    <s v="Male"/>
    <s v="Single"/>
    <x v="1"/>
    <x v="4"/>
    <s v="Graduate"/>
    <n v="3"/>
    <x v="1"/>
    <n v="12.976599999999999"/>
    <n v="77.599299999999999"/>
    <n v="560001"/>
    <s v="Yes"/>
    <x v="0"/>
  </r>
  <r>
    <n v="27"/>
    <s v="Female"/>
    <s v="Married"/>
    <x v="2"/>
    <x v="2"/>
    <s v="Graduate"/>
    <n v="5"/>
    <x v="0"/>
    <n v="12.976599999999999"/>
    <n v="77.599299999999999"/>
    <n v="560001"/>
    <s v="No"/>
    <x v="0"/>
  </r>
  <r>
    <n v="26"/>
    <s v="Male"/>
    <s v="Single"/>
    <x v="2"/>
    <x v="4"/>
    <s v="Graduate"/>
    <n v="3"/>
    <x v="1"/>
    <n v="12.976599999999999"/>
    <n v="77.599299999999999"/>
    <n v="560001"/>
    <s v="Yes"/>
    <x v="0"/>
  </r>
  <r>
    <n v="26"/>
    <s v="Female"/>
    <s v="Single"/>
    <x v="2"/>
    <x v="4"/>
    <s v="Post Graduate"/>
    <n v="3"/>
    <x v="1"/>
    <n v="12.9635"/>
    <n v="77.582099999999997"/>
    <n v="560002"/>
    <s v="Yes"/>
    <x v="0"/>
  </r>
  <r>
    <n v="32"/>
    <s v="Male"/>
    <s v="Married"/>
    <x v="1"/>
    <x v="2"/>
    <s v="Ph.D"/>
    <n v="5"/>
    <x v="0"/>
    <n v="12.9635"/>
    <n v="77.582099999999997"/>
    <n v="560002"/>
    <s v="Yes"/>
    <x v="1"/>
  </r>
  <r>
    <n v="24"/>
    <s v="Male"/>
    <s v="Married"/>
    <x v="2"/>
    <x v="2"/>
    <s v="Ph.D"/>
    <n v="6"/>
    <x v="0"/>
    <n v="12.9635"/>
    <n v="77.582099999999997"/>
    <n v="560002"/>
    <s v="No"/>
    <x v="1"/>
  </r>
  <r>
    <n v="27"/>
    <s v="Female"/>
    <s v="Married"/>
    <x v="2"/>
    <x v="4"/>
    <s v="Graduate"/>
    <n v="3"/>
    <x v="1"/>
    <n v="12.9635"/>
    <n v="77.582099999999997"/>
    <n v="560002"/>
    <s v="Yes"/>
    <x v="0"/>
  </r>
  <r>
    <n v="25"/>
    <s v="Male"/>
    <s v="Single"/>
    <x v="0"/>
    <x v="0"/>
    <s v="Post Graduate"/>
    <n v="4"/>
    <x v="0"/>
    <n v="12.977"/>
    <n v="77.577299999999994"/>
    <n v="560009"/>
    <s v="Yes"/>
    <x v="0"/>
  </r>
  <r>
    <n v="28"/>
    <s v="Male"/>
    <s v="Married"/>
    <x v="1"/>
    <x v="2"/>
    <s v="Post Graduate"/>
    <n v="3"/>
    <x v="1"/>
    <n v="13.001899999999999"/>
    <n v="77.571299999999994"/>
    <n v="560003"/>
    <s v="Yes"/>
    <x v="0"/>
  </r>
  <r>
    <n v="32"/>
    <s v="Female"/>
    <s v="Married"/>
    <x v="1"/>
    <x v="2"/>
    <s v="Graduate"/>
    <n v="1"/>
    <x v="2"/>
    <n v="13.001899999999999"/>
    <n v="77.571299999999994"/>
    <n v="560003"/>
    <s v="No"/>
    <x v="0"/>
  </r>
  <r>
    <n v="23"/>
    <s v="Male"/>
    <s v="Single"/>
    <x v="0"/>
    <x v="0"/>
    <s v="Post Graduate"/>
    <n v="2"/>
    <x v="1"/>
    <n v="13.001899999999999"/>
    <n v="77.571299999999994"/>
    <n v="560003"/>
    <s v="Yes"/>
    <x v="0"/>
  </r>
  <r>
    <n v="19"/>
    <s v="Male"/>
    <s v="Single"/>
    <x v="0"/>
    <x v="0"/>
    <s v="Graduate"/>
    <n v="2"/>
    <x v="1"/>
    <n v="13.001899999999999"/>
    <n v="77.571299999999994"/>
    <n v="560003"/>
    <s v="No"/>
    <x v="1"/>
  </r>
  <r>
    <n v="19"/>
    <s v="Female"/>
    <s v="Single"/>
    <x v="0"/>
    <x v="0"/>
    <s v="Graduate"/>
    <n v="4"/>
    <x v="0"/>
    <n v="12.9537"/>
    <n v="77.617599999999996"/>
    <n v="560047"/>
    <s v="Yes"/>
    <x v="0"/>
  </r>
  <r>
    <n v="27"/>
    <s v="Female"/>
    <s v="Married"/>
    <x v="1"/>
    <x v="4"/>
    <s v="Post Graduate"/>
    <n v="2"/>
    <x v="1"/>
    <n v="12.969799999999999"/>
    <n v="77.75"/>
    <n v="560066"/>
    <s v="No"/>
    <x v="0"/>
  </r>
  <r>
    <n v="25"/>
    <s v="Male"/>
    <s v="Single"/>
    <x v="2"/>
    <x v="4"/>
    <s v="Graduate"/>
    <n v="3"/>
    <x v="1"/>
    <n v="12.997999999999999"/>
    <n v="77.622699999999995"/>
    <n v="560005"/>
    <s v="Yes"/>
    <x v="0"/>
  </r>
  <r>
    <n v="33"/>
    <s v="Male"/>
    <s v="Married"/>
    <x v="1"/>
    <x v="2"/>
    <s v="Ph.D"/>
    <n v="5"/>
    <x v="0"/>
    <n v="12.997999999999999"/>
    <n v="77.622699999999995"/>
    <n v="560005"/>
    <s v="No"/>
    <x v="1"/>
  </r>
  <r>
    <n v="26"/>
    <s v="Female"/>
    <s v="Single"/>
    <x v="1"/>
    <x v="2"/>
    <s v="Graduate"/>
    <n v="3"/>
    <x v="1"/>
    <n v="12.997999999999999"/>
    <n v="77.622699999999995"/>
    <n v="560005"/>
    <s v="Yes"/>
    <x v="0"/>
  </r>
  <r>
    <n v="22"/>
    <s v="Female"/>
    <s v="Single"/>
    <x v="0"/>
    <x v="1"/>
    <s v="Post Graduate"/>
    <n v="4"/>
    <x v="0"/>
    <n v="12.9343"/>
    <n v="77.604399999999998"/>
    <n v="560029"/>
    <s v="Yes"/>
    <x v="0"/>
  </r>
  <r>
    <n v="23"/>
    <s v="Male"/>
    <s v="Single"/>
    <x v="0"/>
    <x v="0"/>
    <s v="Post Graduate"/>
    <n v="3"/>
    <x v="1"/>
    <n v="13.102"/>
    <n v="77.586399999999998"/>
    <n v="560064"/>
    <s v="No"/>
    <x v="0"/>
  </r>
  <r>
    <n v="22"/>
    <s v="Female"/>
    <s v="Single"/>
    <x v="0"/>
    <x v="0"/>
    <s v="Graduate"/>
    <n v="3"/>
    <x v="1"/>
    <n v="13.0158"/>
    <n v="77.539000000000001"/>
    <n v="560096"/>
    <s v="Yes"/>
    <x v="1"/>
  </r>
  <r>
    <n v="25"/>
    <s v="Male"/>
    <s v="Married"/>
    <x v="1"/>
    <x v="4"/>
    <s v="Graduate"/>
    <n v="2"/>
    <x v="1"/>
    <n v="12.997999999999999"/>
    <n v="77.622699999999995"/>
    <n v="560005"/>
    <s v="Yes"/>
    <x v="0"/>
  </r>
  <r>
    <n v="30"/>
    <s v="Female"/>
    <s v="Married"/>
    <x v="3"/>
    <x v="0"/>
    <s v="School"/>
    <n v="5"/>
    <x v="0"/>
    <n v="12.997999999999999"/>
    <n v="77.622699999999995"/>
    <n v="560005"/>
    <s v="Yes"/>
    <x v="0"/>
  </r>
  <r>
    <n v="24"/>
    <s v="Male"/>
    <s v="Single"/>
    <x v="0"/>
    <x v="0"/>
    <s v="Post Graduate"/>
    <n v="3"/>
    <x v="1"/>
    <n v="13.0138"/>
    <n v="77.587699999999998"/>
    <n v="560006"/>
    <s v="No"/>
    <x v="1"/>
  </r>
  <r>
    <n v="25"/>
    <s v="Male"/>
    <s v="Single"/>
    <x v="1"/>
    <x v="3"/>
    <s v="Post Graduate"/>
    <n v="3"/>
    <x v="1"/>
    <n v="13.0138"/>
    <n v="77.587699999999998"/>
    <n v="560006"/>
    <s v="Yes"/>
    <x v="0"/>
  </r>
  <r>
    <n v="23"/>
    <s v="Male"/>
    <s v="Single"/>
    <x v="0"/>
    <x v="2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3.0496"/>
    <n v="77.494100000000003"/>
    <n v="560073"/>
    <s v="Yes"/>
    <x v="0"/>
  </r>
  <r>
    <n v="32"/>
    <s v="Male"/>
    <s v="Married"/>
    <x v="1"/>
    <x v="3"/>
    <s v="Graduate"/>
    <n v="4"/>
    <x v="0"/>
    <n v="12.978300000000001"/>
    <n v="77.640799999999999"/>
    <n v="560038"/>
    <s v="Yes"/>
    <x v="0"/>
  </r>
  <r>
    <n v="22"/>
    <s v="Male"/>
    <s v="Single"/>
    <x v="0"/>
    <x v="0"/>
    <s v="Post Graduate"/>
    <n v="4"/>
    <x v="0"/>
    <n v="12.988899999999999"/>
    <n v="77.574100000000001"/>
    <n v="560020"/>
    <s v="Yes"/>
    <x v="0"/>
  </r>
  <r>
    <n v="20"/>
    <s v="Male"/>
    <s v="Single"/>
    <x v="0"/>
    <x v="0"/>
    <s v="Graduate"/>
    <n v="2"/>
    <x v="1"/>
    <n v="12.9579"/>
    <n v="77.630899999999997"/>
    <n v="560007"/>
    <s v="Yes"/>
    <x v="0"/>
  </r>
  <r>
    <n v="21"/>
    <s v="Male"/>
    <s v="Single"/>
    <x v="0"/>
    <x v="0"/>
    <s v="Graduate"/>
    <n v="2"/>
    <x v="1"/>
    <n v="12.9579"/>
    <n v="77.630899999999997"/>
    <n v="560007"/>
    <s v="Yes"/>
    <x v="0"/>
  </r>
  <r>
    <n v="24"/>
    <s v="Female"/>
    <s v="Married"/>
    <x v="2"/>
    <x v="3"/>
    <s v="Graduate"/>
    <n v="5"/>
    <x v="0"/>
    <n v="12.9579"/>
    <n v="77.630899999999997"/>
    <n v="560007"/>
    <s v="Yes"/>
    <x v="0"/>
  </r>
  <r>
    <n v="25"/>
    <s v="Male"/>
    <s v="Single"/>
    <x v="1"/>
    <x v="4"/>
    <s v="Post Graduate"/>
    <n v="3"/>
    <x v="1"/>
    <n v="12.984999999999999"/>
    <n v="77.553299999999993"/>
    <n v="560010"/>
    <s v="Yes"/>
    <x v="0"/>
  </r>
  <r>
    <n v="32"/>
    <s v="Female"/>
    <s v="Married"/>
    <x v="3"/>
    <x v="0"/>
    <s v="Graduate"/>
    <n v="3"/>
    <x v="1"/>
    <n v="12.984999999999999"/>
    <n v="77.553299999999993"/>
    <n v="560010"/>
    <s v="Yes"/>
    <x v="0"/>
  </r>
  <r>
    <n v="27"/>
    <s v="Male"/>
    <s v="Married"/>
    <x v="1"/>
    <x v="2"/>
    <s v="Ph.D"/>
    <n v="5"/>
    <x v="0"/>
    <n v="12.984999999999999"/>
    <n v="77.553299999999993"/>
    <n v="560010"/>
    <s v="No"/>
    <x v="1"/>
  </r>
  <r>
    <n v="20"/>
    <s v="Female"/>
    <s v="Single"/>
    <x v="0"/>
    <x v="0"/>
    <s v="Graduate"/>
    <n v="2"/>
    <x v="1"/>
    <n v="12.9337"/>
    <n v="77.59"/>
    <n v="560011"/>
    <s v="Yes"/>
    <x v="0"/>
  </r>
  <r>
    <n v="21"/>
    <s v="Male"/>
    <s v="Single"/>
    <x v="0"/>
    <x v="0"/>
    <s v="Graduate"/>
    <n v="2"/>
    <x v="1"/>
    <n v="12.9337"/>
    <n v="77.59"/>
    <n v="560011"/>
    <s v="Yes"/>
    <x v="0"/>
  </r>
  <r>
    <n v="26"/>
    <s v="Male"/>
    <s v="Single"/>
    <x v="1"/>
    <x v="2"/>
    <s v="Post Graduate"/>
    <n v="3"/>
    <x v="1"/>
    <n v="12.9337"/>
    <n v="77.59"/>
    <n v="560011"/>
    <s v="No"/>
    <x v="1"/>
  </r>
  <r>
    <n v="25"/>
    <s v="Male"/>
    <s v="Single"/>
    <x v="1"/>
    <x v="3"/>
    <s v="Graduate"/>
    <n v="4"/>
    <x v="0"/>
    <n v="13.0166"/>
    <n v="77.680400000000006"/>
    <n v="560016"/>
    <s v="Yes"/>
    <x v="0"/>
  </r>
  <r>
    <n v="26"/>
    <s v="Male"/>
    <s v="Single"/>
    <x v="1"/>
    <x v="4"/>
    <s v="Post Graduate"/>
    <n v="3"/>
    <x v="1"/>
    <n v="13.013999999999999"/>
    <n v="77.565799999999996"/>
    <n v="560012"/>
    <s v="Yes"/>
    <x v="0"/>
  </r>
  <r>
    <n v="26"/>
    <s v="Female"/>
    <s v="Married"/>
    <x v="1"/>
    <x v="4"/>
    <s v="Graduate"/>
    <n v="3"/>
    <x v="1"/>
    <n v="13.013999999999999"/>
    <n v="77.565799999999996"/>
    <n v="560012"/>
    <s v="Yes"/>
    <x v="0"/>
  </r>
  <r>
    <n v="27"/>
    <s v="Male"/>
    <s v="Single"/>
    <x v="1"/>
    <x v="2"/>
    <s v="Ph.D"/>
    <n v="4"/>
    <x v="0"/>
    <n v="13.0503"/>
    <n v="77.552899999999994"/>
    <n v="560013"/>
    <s v="No"/>
    <x v="0"/>
  </r>
  <r>
    <n v="27"/>
    <s v="Female"/>
    <s v="Single"/>
    <x v="0"/>
    <x v="0"/>
    <s v="Ph.D"/>
    <n v="5"/>
    <x v="0"/>
    <n v="13.0503"/>
    <n v="77.552899999999994"/>
    <n v="560013"/>
    <s v="No"/>
    <x v="1"/>
  </r>
  <r>
    <n v="24"/>
    <s v="Female"/>
    <s v="Single"/>
    <x v="0"/>
    <x v="0"/>
    <s v="Post Graduate"/>
    <n v="5"/>
    <x v="0"/>
    <n v="12.988300000000001"/>
    <n v="77.598699999999994"/>
    <n v="560051"/>
    <s v="Yes"/>
    <x v="0"/>
  </r>
  <r>
    <n v="25"/>
    <s v="Male"/>
    <s v="Married"/>
    <x v="2"/>
    <x v="2"/>
    <s v="School"/>
    <n v="2"/>
    <x v="1"/>
    <n v="13.0626"/>
    <n v="77.528400000000005"/>
    <n v="560015"/>
    <s v="Yes"/>
    <x v="0"/>
  </r>
  <r>
    <n v="20"/>
    <s v="Male"/>
    <s v="Single"/>
    <x v="0"/>
    <x v="0"/>
    <s v="Graduate"/>
    <n v="2"/>
    <x v="1"/>
    <n v="13.0626"/>
    <n v="77.528400000000005"/>
    <n v="560015"/>
    <s v="No"/>
    <x v="1"/>
  </r>
  <r>
    <n v="22"/>
    <s v="Male"/>
    <s v="Single"/>
    <x v="0"/>
    <x v="0"/>
    <s v="Post Graduate"/>
    <n v="1"/>
    <x v="2"/>
    <n v="13.0626"/>
    <n v="77.528400000000005"/>
    <n v="560015"/>
    <s v="Yes"/>
    <x v="0"/>
  </r>
  <r>
    <n v="26"/>
    <s v="Female"/>
    <s v="Married"/>
    <x v="0"/>
    <x v="1"/>
    <s v="Ph.D"/>
    <n v="3"/>
    <x v="1"/>
    <n v="13.0166"/>
    <n v="77.680400000000006"/>
    <n v="560016"/>
    <s v="Yes"/>
    <x v="0"/>
  </r>
  <r>
    <n v="27"/>
    <s v="Male"/>
    <s v="Prefer not to say"/>
    <x v="1"/>
    <x v="4"/>
    <s v="Post Graduate"/>
    <n v="1"/>
    <x v="2"/>
    <n v="13.0166"/>
    <n v="77.680400000000006"/>
    <n v="560016"/>
    <s v="Yes"/>
    <x v="0"/>
  </r>
  <r>
    <n v="25"/>
    <s v="Female"/>
    <s v="Single"/>
    <x v="0"/>
    <x v="0"/>
    <s v="Post Graduate"/>
    <n v="3"/>
    <x v="1"/>
    <n v="12.9551"/>
    <n v="77.659300000000002"/>
    <n v="560017"/>
    <s v="Yes"/>
    <x v="0"/>
  </r>
  <r>
    <n v="24"/>
    <s v="Male"/>
    <s v="Single"/>
    <x v="1"/>
    <x v="1"/>
    <s v="Graduate"/>
    <n v="2"/>
    <x v="1"/>
    <n v="12.9551"/>
    <n v="77.659300000000002"/>
    <n v="560017"/>
    <s v="Yes"/>
    <x v="0"/>
  </r>
  <r>
    <n v="23"/>
    <s v="Female"/>
    <s v="Single"/>
    <x v="1"/>
    <x v="3"/>
    <s v="Graduate"/>
    <n v="6"/>
    <x v="0"/>
    <n v="12.9551"/>
    <n v="77.659300000000002"/>
    <n v="560017"/>
    <s v="Yes"/>
    <x v="0"/>
  </r>
  <r>
    <n v="22"/>
    <s v="Male"/>
    <s v="Single"/>
    <x v="0"/>
    <x v="0"/>
    <s v="Graduate"/>
    <n v="2"/>
    <x v="1"/>
    <n v="12.957000000000001"/>
    <n v="77.563699999999997"/>
    <n v="560018"/>
    <s v="No"/>
    <x v="0"/>
  </r>
  <r>
    <n v="26"/>
    <s v="Male"/>
    <s v="Married"/>
    <x v="2"/>
    <x v="2"/>
    <s v="Post Graduate"/>
    <n v="3"/>
    <x v="1"/>
    <n v="12.957000000000001"/>
    <n v="77.563699999999997"/>
    <n v="560018"/>
    <s v="No"/>
    <x v="1"/>
  </r>
  <r>
    <n v="26"/>
    <s v="Male"/>
    <s v="Single"/>
    <x v="1"/>
    <x v="1"/>
    <s v="Post Graduate"/>
    <n v="1"/>
    <x v="2"/>
    <n v="12.957000000000001"/>
    <n v="77.563699999999997"/>
    <n v="560018"/>
    <s v="Yes"/>
    <x v="1"/>
  </r>
  <r>
    <n v="25"/>
    <s v="Female"/>
    <s v="Married"/>
    <x v="2"/>
    <x v="4"/>
    <s v="Post Graduate"/>
    <n v="3"/>
    <x v="1"/>
    <n v="12.957000000000001"/>
    <n v="77.563699999999997"/>
    <n v="560018"/>
    <s v="No"/>
    <x v="0"/>
  </r>
  <r>
    <n v="29"/>
    <s v="Female"/>
    <s v="Married"/>
    <x v="1"/>
    <x v="2"/>
    <s v="Graduate"/>
    <n v="3"/>
    <x v="1"/>
    <n v="12.957000000000001"/>
    <n v="77.563699999999997"/>
    <n v="560018"/>
    <s v="No"/>
    <x v="0"/>
  </r>
  <r>
    <n v="23"/>
    <s v="Male"/>
    <s v="Single"/>
    <x v="0"/>
    <x v="1"/>
    <s v="Graduate"/>
    <n v="3"/>
    <x v="1"/>
    <n v="12.8652"/>
    <n v="77.524000000000001"/>
    <n v="560109"/>
    <s v="Yes"/>
    <x v="1"/>
  </r>
  <r>
    <n v="22"/>
    <s v="Female"/>
    <s v="Single"/>
    <x v="1"/>
    <x v="4"/>
    <s v="Graduate"/>
    <n v="4"/>
    <x v="0"/>
    <n v="12.969799999999999"/>
    <n v="77.75"/>
    <n v="560066"/>
    <s v="Yes"/>
    <x v="0"/>
  </r>
  <r>
    <n v="22"/>
    <s v="Male"/>
    <s v="Single"/>
    <x v="0"/>
    <x v="0"/>
    <s v="Graduate"/>
    <n v="2"/>
    <x v="1"/>
    <n v="12.988899999999999"/>
    <n v="77.574100000000001"/>
    <n v="560020"/>
    <s v="No"/>
    <x v="0"/>
  </r>
  <r>
    <n v="32"/>
    <s v="Female"/>
    <s v="Married"/>
    <x v="3"/>
    <x v="0"/>
    <s v="School"/>
    <n v="5"/>
    <x v="0"/>
    <n v="12.988899999999999"/>
    <n v="77.574100000000001"/>
    <n v="560020"/>
    <s v="Yes"/>
    <x v="0"/>
  </r>
  <r>
    <n v="28"/>
    <s v="Male"/>
    <s v="Married"/>
    <x v="1"/>
    <x v="2"/>
    <s v="Post Graduate"/>
    <n v="1"/>
    <x v="2"/>
    <n v="12.9925"/>
    <n v="77.563299999999998"/>
    <n v="560021"/>
    <s v="Yes"/>
    <x v="0"/>
  </r>
  <r>
    <n v="25"/>
    <s v="Male"/>
    <s v="Single"/>
    <x v="1"/>
    <x v="3"/>
    <s v="Graduate"/>
    <n v="2"/>
    <x v="1"/>
    <n v="12.9757"/>
    <n v="77.558599999999998"/>
    <n v="560023"/>
    <s v="Yes"/>
    <x v="0"/>
  </r>
  <r>
    <n v="26"/>
    <s v="Female"/>
    <s v="Married"/>
    <x v="1"/>
    <x v="4"/>
    <s v="Post Graduate"/>
    <n v="2"/>
    <x v="1"/>
    <n v="12.9757"/>
    <n v="77.558599999999998"/>
    <n v="560023"/>
    <s v="No"/>
    <x v="1"/>
  </r>
  <r>
    <n v="31"/>
    <s v="Male"/>
    <s v="Married"/>
    <x v="2"/>
    <x v="2"/>
    <s v="School"/>
    <n v="6"/>
    <x v="0"/>
    <n v="13.0487"/>
    <n v="77.592299999999994"/>
    <n v="560024"/>
    <s v="Yes"/>
    <x v="0"/>
  </r>
  <r>
    <n v="24"/>
    <s v="Male"/>
    <s v="Single"/>
    <x v="0"/>
    <x v="0"/>
    <s v="Post Graduate"/>
    <n v="3"/>
    <x v="1"/>
    <n v="13.0487"/>
    <n v="77.592299999999994"/>
    <n v="560024"/>
    <s v="No"/>
    <x v="1"/>
  </r>
  <r>
    <n v="24"/>
    <s v="Male"/>
    <s v="Single"/>
    <x v="1"/>
    <x v="4"/>
    <s v="Post Graduate"/>
    <n v="2"/>
    <x v="1"/>
    <n v="12.966200000000001"/>
    <n v="77.606800000000007"/>
    <n v="560025"/>
    <s v="Yes"/>
    <x v="0"/>
  </r>
  <r>
    <n v="31"/>
    <s v="Female"/>
    <s v="Married"/>
    <x v="1"/>
    <x v="2"/>
    <s v="Ph.D"/>
    <n v="5"/>
    <x v="0"/>
    <n v="12.966200000000001"/>
    <n v="77.606800000000007"/>
    <n v="560025"/>
    <s v="Yes"/>
    <x v="0"/>
  </r>
  <r>
    <n v="26"/>
    <s v="Male"/>
    <s v="Single"/>
    <x v="1"/>
    <x v="4"/>
    <s v="Graduate"/>
    <n v="2"/>
    <x v="1"/>
    <n v="12.9343"/>
    <n v="77.604399999999998"/>
    <n v="560029"/>
    <s v="Yes"/>
    <x v="0"/>
  </r>
  <r>
    <n v="24"/>
    <s v="Female"/>
    <s v="Married"/>
    <x v="2"/>
    <x v="2"/>
    <s v="Graduate"/>
    <n v="2"/>
    <x v="1"/>
    <n v="12.9343"/>
    <n v="77.604399999999998"/>
    <n v="560029"/>
    <s v="Yes"/>
    <x v="0"/>
  </r>
  <r>
    <n v="22"/>
    <s v="Female"/>
    <s v="Single"/>
    <x v="0"/>
    <x v="0"/>
    <s v="Graduate"/>
    <n v="3"/>
    <x v="1"/>
    <n v="12.9343"/>
    <n v="77.604399999999998"/>
    <n v="560029"/>
    <s v="Yes"/>
    <x v="0"/>
  </r>
  <r>
    <n v="19"/>
    <s v="Male"/>
    <s v="Single"/>
    <x v="0"/>
    <x v="0"/>
    <s v="Graduate"/>
    <n v="6"/>
    <x v="0"/>
    <n v="12.9442"/>
    <n v="77.607600000000005"/>
    <n v="560030"/>
    <s v="Yes"/>
    <x v="0"/>
  </r>
  <r>
    <n v="25"/>
    <s v="Male"/>
    <s v="Married"/>
    <x v="1"/>
    <x v="2"/>
    <s v="Post Graduate"/>
    <n v="6"/>
    <x v="0"/>
    <n v="12.9442"/>
    <n v="77.607600000000005"/>
    <n v="560030"/>
    <s v="Yes"/>
    <x v="0"/>
  </r>
  <r>
    <n v="23"/>
    <s v="Female"/>
    <s v="Married"/>
    <x v="3"/>
    <x v="0"/>
    <s v="School"/>
    <n v="6"/>
    <x v="0"/>
    <n v="12.9442"/>
    <n v="77.607600000000005"/>
    <n v="560030"/>
    <s v="Yes"/>
    <x v="0"/>
  </r>
  <r>
    <n v="23"/>
    <s v="Female"/>
    <s v="Single"/>
    <x v="0"/>
    <x v="0"/>
    <s v="Graduate"/>
    <n v="2"/>
    <x v="1"/>
    <n v="13.0298"/>
    <n v="77.604699999999994"/>
    <n v="560032"/>
    <s v="No"/>
    <x v="1"/>
  </r>
  <r>
    <n v="23"/>
    <s v="Male"/>
    <s v="Single"/>
    <x v="0"/>
    <x v="0"/>
    <s v="Post Graduate"/>
    <n v="2"/>
    <x v="1"/>
    <n v="12.9261"/>
    <n v="77.622100000000003"/>
    <n v="560034"/>
    <s v="Yes"/>
    <x v="0"/>
  </r>
  <r>
    <n v="24"/>
    <s v="Male"/>
    <s v="Single"/>
    <x v="0"/>
    <x v="0"/>
    <s v="Post Graduate"/>
    <n v="5"/>
    <x v="0"/>
    <n v="12.9621"/>
    <n v="77.537599999999998"/>
    <n v="560104"/>
    <s v="Yes"/>
    <x v="0"/>
  </r>
  <r>
    <n v="22"/>
    <s v="Female"/>
    <s v="Single"/>
    <x v="1"/>
    <x v="4"/>
    <s v="Graduate"/>
    <n v="4"/>
    <x v="0"/>
    <n v="12.884499999999999"/>
    <n v="77.6036"/>
    <n v="560076"/>
    <s v="Yes"/>
    <x v="0"/>
  </r>
  <r>
    <n v="26"/>
    <s v="Male"/>
    <s v="Married"/>
    <x v="1"/>
    <x v="2"/>
    <s v="Graduate"/>
    <n v="4"/>
    <x v="0"/>
    <n v="12.9048"/>
    <n v="77.682100000000005"/>
    <n v="560036"/>
    <s v="Yes"/>
    <x v="0"/>
  </r>
  <r>
    <n v="25"/>
    <s v="Female"/>
    <s v="Single"/>
    <x v="0"/>
    <x v="0"/>
    <s v="Ph.D"/>
    <n v="3"/>
    <x v="1"/>
    <n v="12.9048"/>
    <n v="77.682100000000005"/>
    <n v="560036"/>
    <s v="Yes"/>
    <x v="0"/>
  </r>
  <r>
    <n v="20"/>
    <s v="Male"/>
    <s v="Single"/>
    <x v="0"/>
    <x v="0"/>
    <s v="Graduate"/>
    <n v="2"/>
    <x v="1"/>
    <n v="12.9261"/>
    <n v="77.622100000000003"/>
    <n v="560034"/>
    <s v="Yes"/>
    <x v="0"/>
  </r>
  <r>
    <n v="29"/>
    <s v="Male"/>
    <s v="Married"/>
    <x v="1"/>
    <x v="4"/>
    <s v="Graduate"/>
    <n v="4"/>
    <x v="0"/>
    <n v="12.9261"/>
    <n v="77.622100000000003"/>
    <n v="560034"/>
    <s v="No"/>
    <x v="1"/>
  </r>
  <r>
    <n v="23"/>
    <s v="Female"/>
    <s v="Single"/>
    <x v="0"/>
    <x v="0"/>
    <s v="Graduate"/>
    <n v="1"/>
    <x v="2"/>
    <n v="12.977"/>
    <n v="77.577299999999994"/>
    <n v="560009"/>
    <s v="Yes"/>
    <x v="0"/>
  </r>
  <r>
    <n v="25"/>
    <s v="Male"/>
    <s v="Single"/>
    <x v="2"/>
    <x v="2"/>
    <s v="Graduate"/>
    <n v="2"/>
    <x v="1"/>
    <n v="12.978300000000001"/>
    <n v="77.640799999999999"/>
    <n v="560038"/>
    <s v="Yes"/>
    <x v="0"/>
  </r>
  <r>
    <n v="29"/>
    <s v="Female"/>
    <s v="Married"/>
    <x v="1"/>
    <x v="4"/>
    <s v="Graduate"/>
    <n v="4"/>
    <x v="0"/>
    <n v="12.978300000000001"/>
    <n v="77.640799999999999"/>
    <n v="560038"/>
    <s v="No"/>
    <x v="1"/>
  </r>
  <r>
    <n v="27"/>
    <s v="Male"/>
    <s v="Married"/>
    <x v="2"/>
    <x v="4"/>
    <s v="Graduate"/>
    <n v="6"/>
    <x v="0"/>
    <n v="12.9217"/>
    <n v="77.593599999999995"/>
    <n v="560041"/>
    <s v="No"/>
    <x v="1"/>
  </r>
  <r>
    <n v="25"/>
    <s v="Male"/>
    <s v="Single"/>
    <x v="2"/>
    <x v="3"/>
    <s v="Graduate"/>
    <n v="3"/>
    <x v="1"/>
    <n v="13.0206"/>
    <n v="77.647900000000007"/>
    <n v="560043"/>
    <s v="Yes"/>
    <x v="0"/>
  </r>
  <r>
    <n v="21"/>
    <s v="Male"/>
    <s v="Single"/>
    <x v="0"/>
    <x v="0"/>
    <s v="Graduate"/>
    <n v="2"/>
    <x v="1"/>
    <n v="13.001200000000001"/>
    <n v="77.599500000000006"/>
    <n v="560046"/>
    <s v="No"/>
    <x v="1"/>
  </r>
  <r>
    <n v="23"/>
    <s v="Male"/>
    <s v="Single"/>
    <x v="0"/>
    <x v="0"/>
    <s v="Graduate"/>
    <n v="3"/>
    <x v="1"/>
    <n v="13.0223"/>
    <n v="77.713200000000001"/>
    <n v="560049"/>
    <s v="Yes"/>
    <x v="0"/>
  </r>
  <r>
    <n v="24"/>
    <s v="Female"/>
    <s v="Single"/>
    <x v="1"/>
    <x v="3"/>
    <s v="Post Graduate"/>
    <n v="4"/>
    <x v="0"/>
    <n v="12.9337"/>
    <n v="77.59"/>
    <n v="560011"/>
    <s v="Yes"/>
    <x v="0"/>
  </r>
  <r>
    <n v="32"/>
    <s v="Male"/>
    <s v="Married"/>
    <x v="2"/>
    <x v="3"/>
    <s v="School"/>
    <n v="3"/>
    <x v="1"/>
    <n v="12.981999999999999"/>
    <n v="77.625600000000006"/>
    <n v="560008"/>
    <s v="Yes"/>
    <x v="1"/>
  </r>
  <r>
    <n v="28"/>
    <s v="Male"/>
    <s v="Married"/>
    <x v="1"/>
    <x v="4"/>
    <s v="Post Graduate"/>
    <n v="5"/>
    <x v="0"/>
    <n v="13.026199999999999"/>
    <n v="77.62"/>
    <n v="560045"/>
    <s v="Yes"/>
    <x v="0"/>
  </r>
  <r>
    <n v="26"/>
    <s v="Male"/>
    <s v="Single"/>
    <x v="1"/>
    <x v="3"/>
    <s v="Graduate"/>
    <n v="2"/>
    <x v="1"/>
    <n v="12.9217"/>
    <n v="77.593599999999995"/>
    <n v="560041"/>
    <s v="No"/>
    <x v="1"/>
  </r>
  <r>
    <n v="31"/>
    <s v="Female"/>
    <s v="Married"/>
    <x v="3"/>
    <x v="0"/>
    <s v="Graduate"/>
    <n v="5"/>
    <x v="0"/>
    <n v="13.0078"/>
    <n v="77.557699999999997"/>
    <n v="560055"/>
    <s v="Yes"/>
    <x v="0"/>
  </r>
  <r>
    <n v="27"/>
    <s v="Female"/>
    <s v="Married"/>
    <x v="2"/>
    <x v="4"/>
    <s v="Graduate"/>
    <n v="3"/>
    <x v="1"/>
    <n v="13.0078"/>
    <n v="77.557699999999997"/>
    <n v="560055"/>
    <s v="Yes"/>
    <x v="0"/>
  </r>
  <r>
    <n v="21"/>
    <s v="Female"/>
    <s v="Single"/>
    <x v="0"/>
    <x v="0"/>
    <s v="Post Graduate"/>
    <n v="1"/>
    <x v="2"/>
    <n v="12.9217"/>
    <n v="77.593599999999995"/>
    <n v="560041"/>
    <s v="Yes"/>
    <x v="0"/>
  </r>
  <r>
    <n v="23"/>
    <s v="Female"/>
    <s v="Single"/>
    <x v="0"/>
    <x v="0"/>
    <s v="Graduate"/>
    <n v="2"/>
    <x v="1"/>
    <n v="12.910500000000001"/>
    <n v="77.484200000000001"/>
    <n v="560060"/>
    <s v="No"/>
    <x v="0"/>
  </r>
  <r>
    <n v="26"/>
    <s v="Male"/>
    <s v="Married"/>
    <x v="1"/>
    <x v="3"/>
    <s v="Graduate"/>
    <n v="4"/>
    <x v="0"/>
    <n v="12.910500000000001"/>
    <n v="77.484200000000001"/>
    <n v="560060"/>
    <s v="No"/>
    <x v="0"/>
  </r>
  <r>
    <n v="32"/>
    <s v="Male"/>
    <s v="Married"/>
    <x v="1"/>
    <x v="2"/>
    <s v="Graduate"/>
    <n v="5"/>
    <x v="0"/>
    <n v="12.903700000000001"/>
    <n v="77.537599999999998"/>
    <n v="560061"/>
    <s v="Yes"/>
    <x v="0"/>
  </r>
  <r>
    <n v="25"/>
    <s v="Female"/>
    <s v="Married"/>
    <x v="0"/>
    <x v="0"/>
    <s v="Post Graduate"/>
    <n v="2"/>
    <x v="1"/>
    <n v="12.8834"/>
    <n v="77.548599999999993"/>
    <n v="560062"/>
    <s v="Yes"/>
    <x v="0"/>
  </r>
  <r>
    <n v="28"/>
    <s v="Male"/>
    <s v="Single"/>
    <x v="2"/>
    <x v="3"/>
    <s v="Post Graduate"/>
    <n v="2"/>
    <x v="1"/>
    <n v="12.914899999999999"/>
    <n v="77.563500000000005"/>
    <n v="560070"/>
    <s v="Yes"/>
    <x v="0"/>
  </r>
  <r>
    <n v="21"/>
    <s v="Female"/>
    <s v="Single"/>
    <x v="0"/>
    <x v="0"/>
    <s v="Post Graduate"/>
    <n v="3"/>
    <x v="1"/>
    <n v="12.914899999999999"/>
    <n v="77.563500000000005"/>
    <n v="560070"/>
    <s v="Yes"/>
    <x v="0"/>
  </r>
  <r>
    <n v="24"/>
    <s v="Male"/>
    <s v="Single"/>
    <x v="0"/>
    <x v="0"/>
    <s v="Post Graduate"/>
    <n v="2"/>
    <x v="1"/>
    <n v="12.970599999999999"/>
    <n v="77.652900000000002"/>
    <n v="560075"/>
    <s v="Yes"/>
    <x v="0"/>
  </r>
  <r>
    <n v="26"/>
    <s v="Female"/>
    <s v="Married"/>
    <x v="2"/>
    <x v="3"/>
    <s v="Graduate"/>
    <n v="5"/>
    <x v="0"/>
    <n v="12.970599999999999"/>
    <n v="77.652900000000002"/>
    <n v="560075"/>
    <s v="No"/>
    <x v="1"/>
  </r>
  <r>
    <n v="32"/>
    <s v="Male"/>
    <s v="Married"/>
    <x v="1"/>
    <x v="4"/>
    <s v="Graduate"/>
    <n v="3"/>
    <x v="1"/>
    <n v="12.970599999999999"/>
    <n v="77.652900000000002"/>
    <n v="560075"/>
    <s v="Yes"/>
    <x v="0"/>
  </r>
  <r>
    <n v="29"/>
    <s v="Male"/>
    <s v="Single"/>
    <x v="2"/>
    <x v="2"/>
    <s v="Graduate"/>
    <n v="6"/>
    <x v="0"/>
    <n v="12.884499999999999"/>
    <n v="77.6036"/>
    <n v="560076"/>
    <s v="Yes"/>
    <x v="0"/>
  </r>
  <r>
    <n v="21"/>
    <s v="Male"/>
    <s v="Single"/>
    <x v="0"/>
    <x v="0"/>
    <s v="Graduate"/>
    <n v="5"/>
    <x v="0"/>
    <n v="12.978300000000001"/>
    <n v="77.640799999999999"/>
    <n v="560038"/>
    <s v="Yes"/>
    <x v="0"/>
  </r>
  <r>
    <n v="24"/>
    <s v="Female"/>
    <s v="Single"/>
    <x v="2"/>
    <x v="4"/>
    <s v="Post Graduate"/>
    <n v="3"/>
    <x v="1"/>
    <n v="13.010300000000001"/>
    <n v="77.579599999999999"/>
    <n v="560080"/>
    <s v="No"/>
    <x v="1"/>
  </r>
  <r>
    <n v="26"/>
    <s v="Male"/>
    <s v="Prefer not to say"/>
    <x v="2"/>
    <x v="2"/>
    <s v="Post Graduate"/>
    <n v="2"/>
    <x v="1"/>
    <n v="13.010300000000001"/>
    <n v="77.579599999999999"/>
    <n v="560080"/>
    <s v="Yes"/>
    <x v="0"/>
  </r>
  <r>
    <n v="25"/>
    <s v="Male"/>
    <s v="Married"/>
    <x v="1"/>
    <x v="2"/>
    <s v="Ph.D"/>
    <n v="3"/>
    <x v="1"/>
    <n v="12.9306"/>
    <n v="77.543400000000005"/>
    <n v="560085"/>
    <s v="Yes"/>
    <x v="0"/>
  </r>
  <r>
    <n v="29"/>
    <s v="Male"/>
    <s v="Single"/>
    <x v="1"/>
    <x v="4"/>
    <s v="Graduate"/>
    <n v="3"/>
    <x v="1"/>
    <n v="13.0641"/>
    <n v="77.593100000000007"/>
    <n v="560092"/>
    <s v="No"/>
    <x v="1"/>
  </r>
  <r>
    <n v="22"/>
    <s v="Male"/>
    <s v="Single"/>
    <x v="0"/>
    <x v="0"/>
    <s v="Graduate"/>
    <n v="3"/>
    <x v="1"/>
    <n v="13.0158"/>
    <n v="77.539000000000001"/>
    <n v="560096"/>
    <s v="Yes"/>
    <x v="0"/>
  </r>
  <r>
    <n v="24"/>
    <s v="Male"/>
    <s v="Single"/>
    <x v="0"/>
    <x v="0"/>
    <s v="Graduate"/>
    <n v="2"/>
    <x v="1"/>
    <n v="12.956099999999999"/>
    <n v="77.592100000000002"/>
    <n v="560027"/>
    <s v="Yes"/>
    <x v="0"/>
  </r>
  <r>
    <n v="27"/>
    <s v="Male"/>
    <s v="Married"/>
    <x v="1"/>
    <x v="4"/>
    <s v="Graduate"/>
    <n v="2"/>
    <x v="1"/>
    <n v="12.884499999999999"/>
    <n v="77.6036"/>
    <n v="560076"/>
    <s v="Yes"/>
    <x v="0"/>
  </r>
  <r>
    <n v="23"/>
    <s v="Female"/>
    <s v="Single"/>
    <x v="0"/>
    <x v="0"/>
    <s v="Post Graduate"/>
    <n v="3"/>
    <x v="1"/>
    <n v="12.9369"/>
    <n v="77.640699999999995"/>
    <n v="560095"/>
    <s v="No"/>
    <x v="0"/>
  </r>
  <r>
    <n v="32"/>
    <s v="Male"/>
    <s v="Married"/>
    <x v="1"/>
    <x v="2"/>
    <s v="Post Graduate"/>
    <n v="6"/>
    <x v="0"/>
    <n v="12.9369"/>
    <n v="77.640699999999995"/>
    <n v="560095"/>
    <s v="Yes"/>
    <x v="0"/>
  </r>
  <r>
    <n v="22"/>
    <s v="Female"/>
    <s v="Single"/>
    <x v="0"/>
    <x v="0"/>
    <s v="Graduate"/>
    <n v="2"/>
    <x v="1"/>
    <n v="12.9369"/>
    <n v="77.640699999999995"/>
    <n v="560095"/>
    <s v="Yes"/>
    <x v="0"/>
  </r>
  <r>
    <n v="28"/>
    <s v="Male"/>
    <s v="Married"/>
    <x v="1"/>
    <x v="4"/>
    <s v="Graduate"/>
    <n v="3"/>
    <x v="1"/>
    <n v="12.9369"/>
    <n v="77.640699999999995"/>
    <n v="560095"/>
    <s v="Yes"/>
    <x v="0"/>
  </r>
  <r>
    <n v="23"/>
    <s v="Female"/>
    <s v="Single"/>
    <x v="0"/>
    <x v="0"/>
    <s v="Post Graduate"/>
    <n v="2"/>
    <x v="1"/>
    <n v="13.0158"/>
    <n v="77.539000000000001"/>
    <n v="560096"/>
    <s v="Yes"/>
    <x v="0"/>
  </r>
  <r>
    <n v="30"/>
    <s v="Male"/>
    <s v="Married"/>
    <x v="2"/>
    <x v="2"/>
    <s v="Graduate"/>
    <n v="1"/>
    <x v="2"/>
    <n v="13.0809"/>
    <n v="77.5565"/>
    <n v="560097"/>
    <s v="No"/>
    <x v="1"/>
  </r>
  <r>
    <n v="21"/>
    <s v="Male"/>
    <s v="Single"/>
    <x v="0"/>
    <x v="0"/>
    <s v="Graduate"/>
    <n v="3"/>
    <x v="1"/>
    <n v="13.0641"/>
    <n v="77.593100000000007"/>
    <n v="560092"/>
    <s v="Yes"/>
    <x v="0"/>
  </r>
  <r>
    <n v="26"/>
    <s v="Female"/>
    <s v="Married"/>
    <x v="1"/>
    <x v="1"/>
    <s v="Graduate"/>
    <n v="6"/>
    <x v="0"/>
    <n v="12.985900000000001"/>
    <n v="77.671300000000002"/>
    <n v="560093"/>
    <s v="No"/>
    <x v="1"/>
  </r>
  <r>
    <n v="25"/>
    <s v="Male"/>
    <s v="Single"/>
    <x v="2"/>
    <x v="2"/>
    <s v="School"/>
    <n v="3"/>
    <x v="1"/>
    <n v="12.985900000000001"/>
    <n v="77.671300000000002"/>
    <n v="560093"/>
    <s v="Yes"/>
    <x v="0"/>
  </r>
  <r>
    <n v="31"/>
    <s v="Male"/>
    <s v="Prefer not to say"/>
    <x v="1"/>
    <x v="1"/>
    <s v="Graduate"/>
    <n v="1"/>
    <x v="2"/>
    <n v="12.986599999999999"/>
    <n v="77.490399999999994"/>
    <n v="560091"/>
    <s v="No"/>
    <x v="1"/>
  </r>
  <r>
    <n v="23"/>
    <s v="Female"/>
    <s v="Single"/>
    <x v="1"/>
    <x v="4"/>
    <s v="Post Graduate"/>
    <n v="2"/>
    <x v="1"/>
    <n v="12.9847"/>
    <n v="77.549099999999996"/>
    <n v="560100"/>
    <s v="Yes"/>
    <x v="0"/>
  </r>
  <r>
    <n v="29"/>
    <s v="Female"/>
    <s v="Married"/>
    <x v="1"/>
    <x v="4"/>
    <s v="Ph.D"/>
    <n v="3"/>
    <x v="1"/>
    <n v="12.9847"/>
    <n v="77.549099999999996"/>
    <n v="560100"/>
    <s v="Yes"/>
    <x v="0"/>
  </r>
  <r>
    <n v="21"/>
    <s v="Male"/>
    <s v="Single"/>
    <x v="0"/>
    <x v="0"/>
    <s v="Graduate"/>
    <n v="6"/>
    <x v="0"/>
    <n v="12.9847"/>
    <n v="77.549099999999996"/>
    <n v="560100"/>
    <s v="Yes"/>
    <x v="0"/>
  </r>
  <r>
    <n v="20"/>
    <s v="Male"/>
    <s v="Single"/>
    <x v="0"/>
    <x v="0"/>
    <s v="Graduate"/>
    <n v="3"/>
    <x v="1"/>
    <n v="12.9299"/>
    <n v="77.684799999999996"/>
    <n v="560103"/>
    <s v="Yes"/>
    <x v="0"/>
  </r>
  <r>
    <n v="22"/>
    <s v="Male"/>
    <s v="Single"/>
    <x v="1"/>
    <x v="3"/>
    <s v="Graduate"/>
    <n v="2"/>
    <x v="1"/>
    <n v="12.9299"/>
    <n v="77.684799999999996"/>
    <n v="560103"/>
    <s v="Yes"/>
    <x v="0"/>
  </r>
  <r>
    <n v="30"/>
    <s v="Female"/>
    <s v="Married"/>
    <x v="3"/>
    <x v="0"/>
    <s v="School"/>
    <n v="6"/>
    <x v="0"/>
    <n v="12.982799999999999"/>
    <n v="77.613100000000003"/>
    <n v="560042"/>
    <s v="No"/>
    <x v="0"/>
  </r>
  <r>
    <n v="27"/>
    <s v="Male"/>
    <s v="Married"/>
    <x v="2"/>
    <x v="2"/>
    <s v="Graduate"/>
    <n v="3"/>
    <x v="1"/>
    <n v="12.989000000000001"/>
    <n v="77.533199999999994"/>
    <n v="560079"/>
    <s v="Yes"/>
    <x v="0"/>
  </r>
  <r>
    <n v="23"/>
    <s v="Male"/>
    <s v="Single"/>
    <x v="0"/>
    <x v="0"/>
    <s v="Post Graduate"/>
    <n v="2"/>
    <x v="1"/>
    <n v="12.977"/>
    <n v="77.577299999999994"/>
    <n v="560009"/>
    <s v="No"/>
    <x v="1"/>
  </r>
  <r>
    <n v="30"/>
    <s v="Male"/>
    <s v="Married"/>
    <x v="2"/>
    <x v="4"/>
    <s v="School"/>
    <n v="6"/>
    <x v="0"/>
    <n v="12.9251"/>
    <n v="77.499200000000002"/>
    <n v="560059"/>
    <s v="No"/>
    <x v="1"/>
  </r>
  <r>
    <n v="23"/>
    <s v="Male"/>
    <s v="Single"/>
    <x v="0"/>
    <x v="0"/>
    <s v="Post Graduate"/>
    <n v="3"/>
    <x v="1"/>
    <n v="12.996700000000001"/>
    <n v="77.758200000000002"/>
    <n v="560067"/>
    <s v="Yes"/>
    <x v="0"/>
  </r>
  <r>
    <n v="28"/>
    <s v="Female"/>
    <s v="Married"/>
    <x v="1"/>
    <x v="4"/>
    <s v="Post Graduate"/>
    <n v="6"/>
    <x v="0"/>
    <n v="12.996700000000001"/>
    <n v="77.758200000000002"/>
    <n v="560067"/>
    <s v="No"/>
    <x v="1"/>
  </r>
  <r>
    <n v="30"/>
    <s v="Male"/>
    <s v="Married"/>
    <x v="2"/>
    <x v="2"/>
    <s v="Graduate"/>
    <n v="6"/>
    <x v="0"/>
    <n v="12.996700000000001"/>
    <n v="77.758200000000002"/>
    <n v="560067"/>
    <s v="Yes"/>
    <x v="0"/>
  </r>
  <r>
    <n v="24"/>
    <s v="Female"/>
    <s v="Married"/>
    <x v="1"/>
    <x v="4"/>
    <s v="Post Graduate"/>
    <n v="2"/>
    <x v="1"/>
    <n v="12.957000000000001"/>
    <n v="77.563699999999997"/>
    <n v="560018"/>
    <s v="Yes"/>
    <x v="1"/>
  </r>
  <r>
    <n v="21"/>
    <s v="Male"/>
    <s v="Single"/>
    <x v="0"/>
    <x v="0"/>
    <s v="Graduate"/>
    <n v="2"/>
    <x v="1"/>
    <n v="12.957000000000001"/>
    <n v="77.563699999999997"/>
    <n v="560018"/>
    <s v="No"/>
    <x v="1"/>
  </r>
  <r>
    <n v="23"/>
    <s v="Female"/>
    <s v="Prefer not to say"/>
    <x v="1"/>
    <x v="3"/>
    <s v="Graduate"/>
    <n v="3"/>
    <x v="1"/>
    <n v="12.988899999999999"/>
    <n v="77.574100000000001"/>
    <n v="560020"/>
    <s v="No"/>
    <x v="1"/>
  </r>
  <r>
    <n v="25"/>
    <s v="Male"/>
    <s v="Married"/>
    <x v="2"/>
    <x v="2"/>
    <s v="Post Graduate"/>
    <n v="4"/>
    <x v="0"/>
    <n v="13.0206"/>
    <n v="77.647900000000007"/>
    <n v="560043"/>
    <s v="Yes"/>
    <x v="0"/>
  </r>
  <r>
    <n v="24"/>
    <s v="Female"/>
    <s v="Single"/>
    <x v="1"/>
    <x v="4"/>
    <s v="Graduate"/>
    <n v="2"/>
    <x v="1"/>
    <n v="12.8893"/>
    <n v="77.639899999999997"/>
    <n v="560068"/>
    <s v="Yes"/>
    <x v="0"/>
  </r>
  <r>
    <n v="26"/>
    <s v="Male"/>
    <s v="Married"/>
    <x v="1"/>
    <x v="3"/>
    <s v="Graduate"/>
    <n v="3"/>
    <x v="1"/>
    <n v="12.8893"/>
    <n v="77.639899999999997"/>
    <n v="560068"/>
    <s v="No"/>
    <x v="1"/>
  </r>
  <r>
    <n v="25"/>
    <s v="Female"/>
    <s v="Single"/>
    <x v="1"/>
    <x v="4"/>
    <s v="Post Graduate"/>
    <n v="2"/>
    <x v="1"/>
    <n v="12.996700000000001"/>
    <n v="77.758200000000002"/>
    <n v="560067"/>
    <s v="Yes"/>
    <x v="0"/>
  </r>
  <r>
    <n v="22"/>
    <s v="Male"/>
    <s v="Single"/>
    <x v="0"/>
    <x v="4"/>
    <s v="Graduate"/>
    <n v="3"/>
    <x v="1"/>
    <n v="12.978300000000001"/>
    <n v="77.640799999999999"/>
    <n v="560038"/>
    <s v="Yes"/>
    <x v="0"/>
  </r>
  <r>
    <n v="26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Male"/>
    <s v="Single"/>
    <x v="1"/>
    <x v="3"/>
    <s v="Graduate"/>
    <n v="2"/>
    <x v="1"/>
    <n v="12.9925"/>
    <n v="77.563299999999998"/>
    <n v="560021"/>
    <s v="Yes"/>
    <x v="0"/>
  </r>
  <r>
    <n v="21"/>
    <s v="Female"/>
    <s v="Single"/>
    <x v="1"/>
    <x v="1"/>
    <s v="Graduate"/>
    <n v="2"/>
    <x v="1"/>
    <n v="12.9925"/>
    <n v="77.563299999999998"/>
    <n v="560021"/>
    <s v="No"/>
    <x v="1"/>
  </r>
  <r>
    <n v="25"/>
    <s v="Male"/>
    <s v="Married"/>
    <x v="2"/>
    <x v="4"/>
    <s v="Graduate"/>
    <n v="3"/>
    <x v="1"/>
    <n v="12.956099999999999"/>
    <n v="77.592100000000002"/>
    <n v="560027"/>
    <s v="Yes"/>
    <x v="0"/>
  </r>
  <r>
    <n v="24"/>
    <s v="Female"/>
    <s v="Married"/>
    <x v="1"/>
    <x v="3"/>
    <s v="Post Graduate"/>
    <n v="2"/>
    <x v="1"/>
    <n v="12.956099999999999"/>
    <n v="77.592100000000002"/>
    <n v="560027"/>
    <s v="Yes"/>
    <x v="0"/>
  </r>
  <r>
    <n v="22"/>
    <s v="Male"/>
    <s v="Married"/>
    <x v="0"/>
    <x v="0"/>
    <s v="Graduate"/>
    <n v="2"/>
    <x v="1"/>
    <n v="13.073399999999999"/>
    <n v="77.546400000000006"/>
    <n v="560014"/>
    <s v="Yes"/>
    <x v="0"/>
  </r>
  <r>
    <n v="24"/>
    <s v="Male"/>
    <s v="Married"/>
    <x v="1"/>
    <x v="2"/>
    <s v="Post Graduate"/>
    <n v="3"/>
    <x v="1"/>
    <n v="12.951499999999999"/>
    <n v="77.492099999999994"/>
    <n v="560056"/>
    <s v="Yes"/>
    <x v="0"/>
  </r>
  <r>
    <n v="22"/>
    <s v="Female"/>
    <s v="Single"/>
    <x v="0"/>
    <x v="0"/>
    <s v="Graduate"/>
    <n v="2"/>
    <x v="1"/>
    <n v="12.951499999999999"/>
    <n v="77.492099999999994"/>
    <n v="560056"/>
    <s v="Yes"/>
    <x v="0"/>
  </r>
  <r>
    <n v="30"/>
    <s v="Male"/>
    <s v="Married"/>
    <x v="1"/>
    <x v="2"/>
    <s v="Graduate"/>
    <n v="5"/>
    <x v="0"/>
    <n v="12.9719"/>
    <n v="77.512799999999999"/>
    <n v="560072"/>
    <s v="No"/>
    <x v="1"/>
  </r>
  <r>
    <n v="23"/>
    <s v="Female"/>
    <s v="Prefer not to say"/>
    <x v="1"/>
    <x v="3"/>
    <s v="Graduate"/>
    <n v="4"/>
    <x v="0"/>
    <n v="12.9048"/>
    <n v="77.682100000000005"/>
    <n v="560036"/>
    <s v="Yes"/>
    <x v="0"/>
  </r>
  <r>
    <n v="19"/>
    <s v="Male"/>
    <s v="Single"/>
    <x v="0"/>
    <x v="0"/>
    <s v="Graduate"/>
    <n v="6"/>
    <x v="0"/>
    <n v="12.9048"/>
    <n v="77.682100000000005"/>
    <n v="560036"/>
    <s v="Yes"/>
    <x v="0"/>
  </r>
  <r>
    <n v="21"/>
    <s v="Female"/>
    <s v="Single"/>
    <x v="0"/>
    <x v="0"/>
    <s v="Graduate"/>
    <n v="2"/>
    <x v="1"/>
    <n v="13.010300000000001"/>
    <n v="77.579599999999999"/>
    <n v="560080"/>
    <s v="Yes"/>
    <x v="0"/>
  </r>
  <r>
    <n v="23"/>
    <s v="Male"/>
    <s v="Single"/>
    <x v="0"/>
    <x v="0"/>
    <s v="Graduate"/>
    <n v="4"/>
    <x v="0"/>
    <n v="13.010300000000001"/>
    <n v="77.579599999999999"/>
    <n v="560080"/>
    <s v="Yes"/>
    <x v="0"/>
  </r>
  <r>
    <n v="24"/>
    <s v="Female"/>
    <s v="Single"/>
    <x v="1"/>
    <x v="4"/>
    <s v="Graduate"/>
    <n v="3"/>
    <x v="1"/>
    <n v="12.8893"/>
    <n v="77.639899999999997"/>
    <n v="560068"/>
    <s v="Yes"/>
    <x v="0"/>
  </r>
  <r>
    <n v="26"/>
    <s v="Female"/>
    <s v="Married"/>
    <x v="1"/>
    <x v="3"/>
    <s v="Post Graduate"/>
    <n v="2"/>
    <x v="1"/>
    <n v="12.982799999999999"/>
    <n v="77.613100000000003"/>
    <n v="560042"/>
    <s v="No"/>
    <x v="0"/>
  </r>
  <r>
    <n v="26"/>
    <s v="Female"/>
    <s v="Single"/>
    <x v="0"/>
    <x v="0"/>
    <s v="Ph.D"/>
    <n v="2"/>
    <x v="1"/>
    <n v="12.9757"/>
    <n v="77.558599999999998"/>
    <n v="560023"/>
    <s v="Yes"/>
    <x v="0"/>
  </r>
  <r>
    <n v="25"/>
    <s v="Female"/>
    <s v="Single"/>
    <x v="0"/>
    <x v="3"/>
    <s v="Graduate"/>
    <n v="2"/>
    <x v="1"/>
    <n v="12.9757"/>
    <n v="77.558599999999998"/>
    <n v="560023"/>
    <s v="Yes"/>
    <x v="0"/>
  </r>
  <r>
    <n v="28"/>
    <s v="Female"/>
    <s v="Married"/>
    <x v="1"/>
    <x v="4"/>
    <s v="Graduate"/>
    <n v="5"/>
    <x v="0"/>
    <n v="12.9757"/>
    <n v="77.558599999999998"/>
    <n v="560023"/>
    <s v="No"/>
    <x v="1"/>
  </r>
  <r>
    <n v="25"/>
    <s v="Female"/>
    <s v="Single"/>
    <x v="0"/>
    <x v="0"/>
    <s v="Post Graduate"/>
    <n v="3"/>
    <x v="1"/>
    <n v="13.073399999999999"/>
    <n v="77.546400000000006"/>
    <n v="560014"/>
    <s v="Yes"/>
    <x v="0"/>
  </r>
  <r>
    <n v="20"/>
    <s v="Female"/>
    <s v="Single"/>
    <x v="0"/>
    <x v="0"/>
    <s v="Graduate"/>
    <n v="2"/>
    <x v="1"/>
    <n v="13.073399999999999"/>
    <n v="77.546400000000006"/>
    <n v="560014"/>
    <s v="Yes"/>
    <x v="0"/>
  </r>
  <r>
    <n v="27"/>
    <s v="Female"/>
    <s v="Married"/>
    <x v="2"/>
    <x v="2"/>
    <s v="Graduate"/>
    <n v="6"/>
    <x v="0"/>
    <n v="13.073399999999999"/>
    <n v="77.546400000000006"/>
    <n v="560014"/>
    <s v="No"/>
    <x v="0"/>
  </r>
  <r>
    <n v="25"/>
    <s v="Female"/>
    <s v="Married"/>
    <x v="1"/>
    <x v="4"/>
    <s v="Graduate"/>
    <n v="3"/>
    <x v="1"/>
    <n v="13.0626"/>
    <n v="77.528400000000005"/>
    <n v="560015"/>
    <s v="No"/>
    <x v="0"/>
  </r>
  <r>
    <n v="24"/>
    <s v="Female"/>
    <s v="Single"/>
    <x v="0"/>
    <x v="0"/>
    <s v="Post Graduate"/>
    <n v="5"/>
    <x v="0"/>
    <n v="13.0626"/>
    <n v="77.528400000000005"/>
    <n v="560015"/>
    <s v="No"/>
    <x v="1"/>
  </r>
  <r>
    <n v="25"/>
    <s v="Female"/>
    <s v="Married"/>
    <x v="1"/>
    <x v="2"/>
    <s v="Graduate"/>
    <n v="1"/>
    <x v="2"/>
    <n v="12.977"/>
    <n v="77.577299999999994"/>
    <n v="560009"/>
    <s v="No"/>
    <x v="1"/>
  </r>
  <r>
    <n v="25"/>
    <s v="Female"/>
    <s v="Prefer not to say"/>
    <x v="1"/>
    <x v="4"/>
    <s v="Post Graduate"/>
    <n v="3"/>
    <x v="1"/>
    <n v="12.997999999999999"/>
    <n v="77.622699999999995"/>
    <n v="560005"/>
    <s v="No"/>
    <x v="1"/>
  </r>
  <r>
    <n v="24"/>
    <s v="Female"/>
    <s v="Married"/>
    <x v="0"/>
    <x v="1"/>
    <s v="Ph.D"/>
    <n v="5"/>
    <x v="0"/>
    <n v="13.0626"/>
    <n v="77.528400000000005"/>
    <n v="560015"/>
    <s v="Yes"/>
    <x v="0"/>
  </r>
  <r>
    <n v="24"/>
    <s v="Male"/>
    <s v="Single"/>
    <x v="0"/>
    <x v="0"/>
    <s v="Post Graduate"/>
    <n v="3"/>
    <x v="1"/>
    <n v="13.0626"/>
    <n v="77.528400000000005"/>
    <n v="560015"/>
    <s v="Yes"/>
    <x v="0"/>
  </r>
  <r>
    <n v="22"/>
    <s v="Male"/>
    <s v="Single"/>
    <x v="1"/>
    <x v="3"/>
    <s v="Graduate"/>
    <n v="1"/>
    <x v="2"/>
    <n v="13.0138"/>
    <n v="77.587699999999998"/>
    <n v="560006"/>
    <s v="Yes"/>
    <x v="0"/>
  </r>
  <r>
    <n v="28"/>
    <s v="Male"/>
    <s v="Single"/>
    <x v="1"/>
    <x v="4"/>
    <s v="Post Graduate"/>
    <n v="2"/>
    <x v="1"/>
    <n v="13.0138"/>
    <n v="77.587699999999998"/>
    <n v="560006"/>
    <s v="No"/>
    <x v="1"/>
  </r>
  <r>
    <n v="25"/>
    <s v="Female"/>
    <s v="Single"/>
    <x v="1"/>
    <x v="2"/>
    <s v="Post Graduate"/>
    <n v="6"/>
    <x v="0"/>
    <n v="13.013999999999999"/>
    <n v="77.565799999999996"/>
    <n v="560012"/>
    <s v="No"/>
    <x v="1"/>
  </r>
  <r>
    <n v="21"/>
    <s v="Male"/>
    <s v="Married"/>
    <x v="1"/>
    <x v="2"/>
    <s v="Ph.D"/>
    <n v="3"/>
    <x v="1"/>
    <n v="12.9306"/>
    <n v="77.543400000000005"/>
    <n v="560085"/>
    <s v="Yes"/>
    <x v="0"/>
  </r>
  <r>
    <n v="27"/>
    <s v="Male"/>
    <s v="Married"/>
    <x v="2"/>
    <x v="4"/>
    <s v="Graduate"/>
    <n v="6"/>
    <x v="0"/>
    <n v="12.9217"/>
    <n v="77.593599999999995"/>
    <n v="560041"/>
    <s v="No"/>
    <x v="0"/>
  </r>
  <r>
    <n v="22"/>
    <s v="Male"/>
    <s v="Married"/>
    <x v="2"/>
    <x v="3"/>
    <s v="School"/>
    <n v="3"/>
    <x v="1"/>
    <n v="12.981999999999999"/>
    <n v="77.625600000000006"/>
    <n v="560008"/>
    <s v="Yes"/>
    <x v="1"/>
  </r>
  <r>
    <n v="29"/>
    <s v="Female"/>
    <s v="Married"/>
    <x v="1"/>
    <x v="4"/>
    <s v="Graduate"/>
    <n v="4"/>
    <x v="0"/>
    <n v="12.978300000000001"/>
    <n v="77.640799999999999"/>
    <n v="560038"/>
    <s v="No"/>
    <x v="0"/>
  </r>
  <r>
    <n v="21"/>
    <s v="Male"/>
    <s v="Single"/>
    <x v="0"/>
    <x v="0"/>
    <s v="Graduate"/>
    <n v="2"/>
    <x v="1"/>
    <n v="13.001200000000001"/>
    <n v="77.599500000000006"/>
    <n v="560046"/>
    <s v="No"/>
    <x v="0"/>
  </r>
  <r>
    <n v="31"/>
    <s v="Male"/>
    <s v="Married"/>
    <x v="1"/>
    <x v="2"/>
    <s v="Ph.D"/>
    <n v="3"/>
    <x v="1"/>
    <n v="12.9306"/>
    <n v="77.543400000000005"/>
    <n v="560085"/>
    <s v="Yes"/>
    <x v="0"/>
  </r>
  <r>
    <n v="30"/>
    <s v="Male"/>
    <s v="Married"/>
    <x v="1"/>
    <x v="2"/>
    <s v="Post Graduate"/>
    <n v="6"/>
    <x v="0"/>
    <n v="12.9369"/>
    <n v="77.640699999999995"/>
    <n v="560095"/>
    <s v="Yes"/>
    <x v="0"/>
  </r>
  <r>
    <n v="21"/>
    <s v="Male"/>
    <s v="Single"/>
    <x v="0"/>
    <x v="0"/>
    <s v="Graduate"/>
    <n v="3"/>
    <x v="1"/>
    <n v="13.0641"/>
    <n v="77.593100000000007"/>
    <n v="560092"/>
    <s v="Yes"/>
    <x v="1"/>
  </r>
  <r>
    <n v="23"/>
    <s v="Male"/>
    <s v="Single"/>
    <x v="0"/>
    <x v="1"/>
    <s v="Post Graduate"/>
    <n v="2"/>
    <x v="1"/>
    <n v="12.977"/>
    <n v="77.577299999999994"/>
    <n v="560009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71A0D-E21F-44B9-833D-86B86E7D6D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eedback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1BF67-05B8-4B54-8A5D-1FFC2C914D6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26055-ED5F-4725-B897-303EA01A1054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g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31174-7B5D-44E4-9FBD-B26C6C0B0F4F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g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2C13-8EA0-43EC-B9B1-4FE8BE6EC2B8}">
  <dimension ref="A3:B6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5.21875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25</v>
      </c>
      <c r="B4" s="4">
        <v>54</v>
      </c>
    </row>
    <row r="5" spans="1:2" x14ac:dyDescent="0.3">
      <c r="A5" s="3" t="s">
        <v>20</v>
      </c>
      <c r="B5" s="4">
        <v>231</v>
      </c>
    </row>
    <row r="6" spans="1:2" x14ac:dyDescent="0.3">
      <c r="A6" s="3" t="s">
        <v>43</v>
      </c>
      <c r="B6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098A-81A9-42D7-A174-06164539424D}">
  <dimension ref="A3:B7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8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18</v>
      </c>
      <c r="B4" s="4">
        <v>105</v>
      </c>
    </row>
    <row r="5" spans="1:2" x14ac:dyDescent="0.3">
      <c r="A5" s="3" t="s">
        <v>32</v>
      </c>
      <c r="B5" s="4">
        <v>18</v>
      </c>
    </row>
    <row r="6" spans="1:2" x14ac:dyDescent="0.3">
      <c r="A6" s="3" t="s">
        <v>23</v>
      </c>
      <c r="B6" s="4">
        <v>162</v>
      </c>
    </row>
    <row r="7" spans="1:2" x14ac:dyDescent="0.3">
      <c r="A7" s="3" t="s">
        <v>43</v>
      </c>
      <c r="B7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8B1-8AA1-452E-AB6D-6EB6B9CB7805}">
  <dimension ref="A3:B8"/>
  <sheetViews>
    <sheetView workbookViewId="0">
      <selection activeCell="N17" sqref="N17"/>
    </sheetView>
  </sheetViews>
  <sheetFormatPr defaultRowHeight="14.4" x14ac:dyDescent="0.3"/>
  <cols>
    <col min="1" max="1" width="13.55468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27</v>
      </c>
      <c r="B4" s="4">
        <v>2473</v>
      </c>
    </row>
    <row r="5" spans="1:2" x14ac:dyDescent="0.3">
      <c r="A5" s="3" t="s">
        <v>36</v>
      </c>
      <c r="B5" s="4">
        <v>273</v>
      </c>
    </row>
    <row r="6" spans="1:2" x14ac:dyDescent="0.3">
      <c r="A6" s="3" t="s">
        <v>29</v>
      </c>
      <c r="B6" s="4">
        <v>1005</v>
      </c>
    </row>
    <row r="7" spans="1:2" x14ac:dyDescent="0.3">
      <c r="A7" s="3" t="s">
        <v>15</v>
      </c>
      <c r="B7" s="4">
        <v>3282</v>
      </c>
    </row>
    <row r="8" spans="1:2" x14ac:dyDescent="0.3">
      <c r="A8" s="3" t="s">
        <v>43</v>
      </c>
      <c r="B8" s="4">
        <v>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C73-30BF-4308-88BD-FC36E3777C91}">
  <dimension ref="A3:B9"/>
  <sheetViews>
    <sheetView workbookViewId="0">
      <selection activeCell="G24" sqref="G24"/>
    </sheetView>
  </sheetViews>
  <sheetFormatPr defaultRowHeight="14.4" x14ac:dyDescent="0.3"/>
  <cols>
    <col min="1" max="1" width="15.1093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30</v>
      </c>
      <c r="B4" s="4">
        <v>890</v>
      </c>
    </row>
    <row r="5" spans="1:2" x14ac:dyDescent="0.3">
      <c r="A5" s="3" t="s">
        <v>31</v>
      </c>
      <c r="B5" s="4">
        <v>1363</v>
      </c>
    </row>
    <row r="6" spans="1:2" x14ac:dyDescent="0.3">
      <c r="A6" s="3" t="s">
        <v>21</v>
      </c>
      <c r="B6" s="4">
        <v>451</v>
      </c>
    </row>
    <row r="7" spans="1:2" x14ac:dyDescent="0.3">
      <c r="A7" s="3" t="s">
        <v>28</v>
      </c>
      <c r="B7" s="4">
        <v>1284</v>
      </c>
    </row>
    <row r="8" spans="1:2" x14ac:dyDescent="0.3">
      <c r="A8" s="3" t="s">
        <v>16</v>
      </c>
      <c r="B8" s="4">
        <v>3045</v>
      </c>
    </row>
    <row r="9" spans="1:2" x14ac:dyDescent="0.3">
      <c r="A9" s="3" t="s">
        <v>43</v>
      </c>
      <c r="B9" s="4">
        <v>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sqref="A1:M28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9723-CB1A-45A0-ADF0-205AC6692331}">
  <dimension ref="A1:E6"/>
  <sheetViews>
    <sheetView tabSelected="1" workbookViewId="0">
      <selection activeCell="D8" sqref="D8"/>
    </sheetView>
  </sheetViews>
  <sheetFormatPr defaultRowHeight="14.4" x14ac:dyDescent="0.3"/>
  <cols>
    <col min="1" max="1" width="16.21875" customWidth="1"/>
    <col min="2" max="2" width="16.88671875" customWidth="1"/>
    <col min="3" max="3" width="18.21875" customWidth="1"/>
    <col min="5" max="5" width="19.21875" customWidth="1"/>
  </cols>
  <sheetData>
    <row r="1" spans="1:5" x14ac:dyDescent="0.3">
      <c r="A1" t="s">
        <v>39</v>
      </c>
      <c r="B1" t="s">
        <v>40</v>
      </c>
      <c r="C1" t="s">
        <v>41</v>
      </c>
    </row>
    <row r="2" spans="1:5" x14ac:dyDescent="0.3">
      <c r="A2">
        <f>COUNTA(Sheet1!A:A)-1</f>
        <v>285</v>
      </c>
      <c r="B2">
        <f>COUNTIF(Sheet1!M:M,"Positive")</f>
        <v>231</v>
      </c>
      <c r="C2">
        <f>COUNTIF(Sheet1!M:M,"Negative")</f>
        <v>0</v>
      </c>
    </row>
    <row r="6" spans="1:5" x14ac:dyDescent="0.3">
      <c r="E6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nandu</cp:lastModifiedBy>
  <dcterms:created xsi:type="dcterms:W3CDTF">2026-09-19T16:35:23Z</dcterms:created>
  <dcterms:modified xsi:type="dcterms:W3CDTF">2026-10-13T16:32:45Z</dcterms:modified>
</cp:coreProperties>
</file>